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\Desktop\Blast-Program\assets\workbooks\"/>
    </mc:Choice>
  </mc:AlternateContent>
  <xr:revisionPtr revIDLastSave="0" documentId="8_{3D54967F-09B8-496A-9FF6-E41C2F30A4D1}" xr6:coauthVersionLast="47" xr6:coauthVersionMax="47" xr10:uidLastSave="{00000000-0000-0000-0000-000000000000}"/>
  <bookViews>
    <workbookView xWindow="9900" yWindow="2136" windowWidth="13056" windowHeight="8880" xr2:uid="{00000000-000D-0000-FFFF-FFFF00000000}"/>
  </bookViews>
  <sheets>
    <sheet name="Calculation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8" i="3" l="1"/>
  <c r="S64" i="3" s="1"/>
  <c r="S17" i="3"/>
  <c r="S63" i="3" s="1"/>
  <c r="S19" i="3"/>
  <c r="S65" i="3" s="1"/>
  <c r="S20" i="3"/>
  <c r="S66" i="3" s="1"/>
  <c r="S62" i="3" l="1"/>
  <c r="S16" i="3"/>
  <c r="P51" i="3"/>
  <c r="O51" i="3"/>
  <c r="O52" i="3"/>
  <c r="P52" i="3"/>
  <c r="B22" i="3"/>
  <c r="G13" i="3"/>
  <c r="B19" i="3"/>
  <c r="U3" i="3"/>
  <c r="W3" i="3"/>
  <c r="B20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31" i="3"/>
  <c r="H19" i="3"/>
  <c r="D8" i="3"/>
  <c r="D9" i="3"/>
  <c r="E7" i="3"/>
  <c r="P3" i="3" l="1"/>
  <c r="P58" i="3" s="1"/>
  <c r="Q27" i="3"/>
  <c r="Q26" i="3"/>
  <c r="Q25" i="3"/>
  <c r="Q24" i="3"/>
  <c r="P4" i="3" l="1"/>
  <c r="Q3" i="3" s="1"/>
  <c r="W7" i="3" l="1"/>
  <c r="U7" i="3" s="1"/>
  <c r="F16" i="3" s="1"/>
  <c r="F19" i="3" l="1"/>
  <c r="F22" i="3" s="1"/>
  <c r="F17" i="3"/>
  <c r="V10" i="3" s="1"/>
  <c r="S7" i="3"/>
  <c r="O7" i="3"/>
  <c r="Q7" i="3"/>
  <c r="P27" i="3" l="1"/>
  <c r="S10" i="3"/>
  <c r="C17" i="3"/>
  <c r="C16" i="3"/>
  <c r="C19" i="3" s="1"/>
  <c r="C22" i="3" s="1"/>
  <c r="D16" i="3"/>
  <c r="D19" i="3" s="1"/>
  <c r="D22" i="3" s="1"/>
  <c r="D17" i="3"/>
  <c r="T10" i="3" s="1"/>
  <c r="E17" i="3"/>
  <c r="U10" i="3" s="1"/>
  <c r="E16" i="3"/>
  <c r="E19" i="3" s="1"/>
  <c r="E22" i="3" s="1"/>
  <c r="P20" i="3" l="1"/>
  <c r="B23" i="3"/>
  <c r="Q20" i="3"/>
  <c r="Q19" i="3" s="1"/>
  <c r="Q18" i="3" s="1"/>
  <c r="Q17" i="3" s="1"/>
  <c r="P26" i="3"/>
  <c r="R20" i="3" l="1"/>
  <c r="P66" i="3" s="1"/>
  <c r="Q66" i="3" s="1"/>
  <c r="R66" i="3" s="1"/>
  <c r="P24" i="3"/>
  <c r="P25" i="3"/>
  <c r="T66" i="3" l="1"/>
  <c r="T20" i="3" s="1"/>
  <c r="C20" i="3" s="1"/>
  <c r="U20" i="3"/>
  <c r="P28" i="3"/>
  <c r="G20" i="3" s="1"/>
  <c r="G19" i="3" l="1"/>
  <c r="P19" i="3" l="1"/>
  <c r="R19" i="3" l="1"/>
  <c r="P65" i="3" s="1"/>
  <c r="Q65" i="3" s="1"/>
  <c r="R65" i="3" s="1"/>
  <c r="P18" i="3"/>
  <c r="T65" i="3" l="1"/>
  <c r="T19" i="3" s="1"/>
  <c r="D20" i="3" s="1"/>
  <c r="U19" i="3"/>
  <c r="R18" i="3"/>
  <c r="P17" i="3"/>
  <c r="R17" i="3" s="1"/>
  <c r="P63" i="3" s="1"/>
  <c r="Q16" i="3"/>
  <c r="P64" i="3" l="1"/>
  <c r="Q64" i="3" s="1"/>
  <c r="R64" i="3" s="1"/>
  <c r="Q63" i="3"/>
  <c r="R63" i="3" s="1"/>
  <c r="U17" i="3" s="1"/>
  <c r="P16" i="3"/>
  <c r="R16" i="3" s="1"/>
  <c r="T64" i="3" l="1"/>
  <c r="T18" i="3" s="1"/>
  <c r="E20" i="3" s="1"/>
  <c r="U18" i="3"/>
  <c r="R62" i="3"/>
  <c r="U16" i="3" s="1"/>
  <c r="T63" i="3" l="1"/>
  <c r="T17" i="3" s="1"/>
  <c r="F20" i="3" s="1"/>
  <c r="T62" i="3" l="1"/>
  <c r="T16" i="3" s="1"/>
</calcChain>
</file>

<file path=xl/sharedStrings.xml><?xml version="1.0" encoding="utf-8"?>
<sst xmlns="http://schemas.openxmlformats.org/spreadsheetml/2006/main" count="92" uniqueCount="68">
  <si>
    <t>index number</t>
  </si>
  <si>
    <t>Explosive Column</t>
  </si>
  <si>
    <t>Hole Diameter</t>
  </si>
  <si>
    <t>Cup Density</t>
  </si>
  <si>
    <t>Hole Depth</t>
  </si>
  <si>
    <r>
      <t>g/cm</t>
    </r>
    <r>
      <rPr>
        <b/>
        <vertAlign val="superscript"/>
        <sz val="8"/>
        <rFont val="Arial"/>
        <family val="2"/>
      </rPr>
      <t>3</t>
    </r>
  </si>
  <si>
    <t>TMD</t>
  </si>
  <si>
    <t>Bottom</t>
  </si>
  <si>
    <t>Top</t>
  </si>
  <si>
    <t>Bottom density</t>
  </si>
  <si>
    <t>Top density</t>
  </si>
  <si>
    <t>Equiv. Depth</t>
  </si>
  <si>
    <r>
      <t xml:space="preserve">6 </t>
    </r>
    <r>
      <rPr>
        <b/>
        <vertAlign val="superscript"/>
        <sz val="10"/>
        <rFont val="Arial"/>
        <family val="2"/>
      </rPr>
      <t>7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</si>
  <si>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7 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</si>
  <si>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7 </t>
    </r>
    <r>
      <rPr>
        <b/>
        <vertAlign val="superscript"/>
        <sz val="10"/>
        <rFont val="Arial"/>
        <family val="2"/>
      </rPr>
      <t>7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</si>
  <si>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9 </t>
    </r>
    <r>
      <rPr>
        <b/>
        <vertAlign val="superscript"/>
        <sz val="10"/>
        <rFont val="Arial"/>
        <family val="2"/>
      </rPr>
      <t>7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</si>
  <si>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10 </t>
    </r>
    <r>
      <rPr>
        <b/>
        <vertAlign val="superscript"/>
        <sz val="10"/>
        <rFont val="Arial"/>
        <family val="2"/>
      </rPr>
      <t>5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</si>
  <si>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3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2</t>
    </r>
  </si>
  <si>
    <r>
      <t xml:space="preserve">4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2</t>
    </r>
  </si>
  <si>
    <r>
      <t xml:space="preserve">5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4</t>
    </r>
  </si>
  <si>
    <r>
      <t xml:space="preserve">5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2</t>
    </r>
  </si>
  <si>
    <r>
      <t xml:space="preserve">5 </t>
    </r>
    <r>
      <rPr>
        <b/>
        <vertAlign val="superscript"/>
        <sz val="10"/>
        <rFont val="Arial"/>
        <family val="2"/>
      </rPr>
      <t>5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8</t>
    </r>
  </si>
  <si>
    <r>
      <t xml:space="preserve">6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4</t>
    </r>
  </si>
  <si>
    <r>
      <t xml:space="preserve">6 </t>
    </r>
    <r>
      <rPr>
        <b/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2</t>
    </r>
  </si>
  <si>
    <r>
      <t xml:space="preserve">6  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</t>
    </r>
    <r>
      <rPr>
        <b/>
        <vertAlign val="subscript"/>
        <sz val="10"/>
        <rFont val="Arial"/>
        <family val="2"/>
      </rPr>
      <t>4</t>
    </r>
  </si>
  <si>
    <t>Do not change this number unless you know what you are doing.</t>
  </si>
  <si>
    <t>Ave Density</t>
  </si>
  <si>
    <t>Total</t>
  </si>
  <si>
    <t>Bottom Density</t>
  </si>
  <si>
    <t>Mid-Top</t>
  </si>
  <si>
    <t>Mid-Bot</t>
  </si>
  <si>
    <t>Mid-Bot density</t>
  </si>
  <si>
    <t>Mid-Top density</t>
  </si>
  <si>
    <t>Hole Loads</t>
  </si>
  <si>
    <t>As loaded</t>
  </si>
  <si>
    <t>Final</t>
  </si>
  <si>
    <t>Stemming</t>
  </si>
  <si>
    <t>Mid-top</t>
  </si>
  <si>
    <t>Bot</t>
  </si>
  <si>
    <t>Unloaded Collar</t>
  </si>
  <si>
    <t>Average density</t>
  </si>
  <si>
    <t>Overal Ave.</t>
  </si>
  <si>
    <t>Col. (ft)</t>
  </si>
  <si>
    <t>Ave Den.</t>
  </si>
  <si>
    <t>Hole Diameters</t>
  </si>
  <si>
    <t>Wet Hole</t>
  </si>
  <si>
    <t>Alt. Diameter</t>
  </si>
  <si>
    <t>Water</t>
  </si>
  <si>
    <t>Units</t>
  </si>
  <si>
    <t>hole dia.</t>
  </si>
  <si>
    <t>crit. dens.</t>
  </si>
  <si>
    <t>Imperial</t>
  </si>
  <si>
    <t>Metric</t>
  </si>
  <si>
    <t>Atm. Press.</t>
  </si>
  <si>
    <t>Press. Grad.</t>
  </si>
  <si>
    <t>Titan Calculator (Differential Energy)</t>
  </si>
  <si>
    <t>Metric Hole Diameters</t>
  </si>
  <si>
    <t>Imperial Hole Diameters</t>
  </si>
  <si>
    <t>Bot. dens.</t>
  </si>
  <si>
    <r>
      <t xml:space="preserve">12 </t>
    </r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>/</t>
    </r>
    <r>
      <rPr>
        <vertAlign val="subscript"/>
        <sz val="10"/>
        <rFont val="Arial"/>
        <family val="2"/>
      </rPr>
      <t>4</t>
    </r>
  </si>
  <si>
    <t>11</t>
  </si>
  <si>
    <t>% Emulsion</t>
  </si>
  <si>
    <t>Blend Calculations</t>
  </si>
  <si>
    <t>Adjusted hole size</t>
  </si>
  <si>
    <t>Rise</t>
  </si>
  <si>
    <t>Adj. Rise</t>
  </si>
  <si>
    <t>Unloaded</t>
  </si>
  <si>
    <t xml:space="preserve">Unloaded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</si>
</sst>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7" x14ac:knownFonts="1">
    <font>
      <sz val="10"/>
      <name val="Arial"/>
    </font>
    <font>
      <b/>
      <u/>
      <sz val="12"/>
      <name val="Arial"/>
      <family val="2"/>
    </font>
    <font>
      <b/>
      <sz val="16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vertAlign val="superscript"/>
      <sz val="8"/>
      <name val="Arial"/>
      <family val="2"/>
    </font>
    <font>
      <sz val="10"/>
      <name val="Arial"/>
      <family val="2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sz val="8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7" fillId="0" borderId="17" xfId="0" applyFont="1" applyBorder="1"/>
    <xf numFmtId="0" fontId="7" fillId="0" borderId="8" xfId="0" applyFont="1" applyBorder="1"/>
    <xf numFmtId="0" fontId="7" fillId="0" borderId="2" xfId="0" applyFont="1" applyBorder="1" applyAlignment="1">
      <alignment horizontal="center"/>
    </xf>
    <xf numFmtId="165" fontId="7" fillId="0" borderId="0" xfId="0" applyNumberFormat="1" applyFont="1" applyAlignment="1" applyProtection="1">
      <alignment horizontal="center"/>
      <protection locked="0"/>
    </xf>
    <xf numFmtId="0" fontId="7" fillId="0" borderId="2" xfId="0" applyFont="1" applyBorder="1" applyAlignment="1" applyProtection="1">
      <alignment horizontal="center"/>
      <protection locked="0"/>
    </xf>
    <xf numFmtId="0" fontId="7" fillId="0" borderId="7" xfId="0" applyFont="1" applyBorder="1"/>
    <xf numFmtId="165" fontId="7" fillId="0" borderId="1" xfId="0" applyNumberFormat="1" applyFont="1" applyBorder="1" applyAlignment="1" applyProtection="1">
      <alignment horizontal="center"/>
      <protection locked="0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18" xfId="0" applyFont="1" applyBorder="1" applyAlignment="1">
      <alignment horizontal="centerContinuous"/>
    </xf>
    <xf numFmtId="0" fontId="7" fillId="0" borderId="19" xfId="0" applyFont="1" applyBorder="1" applyAlignment="1">
      <alignment horizontal="centerContinuous"/>
    </xf>
    <xf numFmtId="0" fontId="0" fillId="0" borderId="18" xfId="0" applyBorder="1"/>
    <xf numFmtId="0" fontId="0" fillId="0" borderId="19" xfId="0" applyBorder="1"/>
    <xf numFmtId="0" fontId="0" fillId="0" borderId="8" xfId="0" applyBorder="1"/>
    <xf numFmtId="0" fontId="7" fillId="0" borderId="0" xfId="0" applyFont="1" applyAlignment="1">
      <alignment horizontal="center"/>
    </xf>
    <xf numFmtId="0" fontId="7" fillId="0" borderId="20" xfId="0" applyFont="1" applyBorder="1"/>
    <xf numFmtId="164" fontId="7" fillId="0" borderId="0" xfId="0" applyNumberFormat="1" applyFont="1" applyAlignment="1">
      <alignment horizontal="center"/>
    </xf>
    <xf numFmtId="0" fontId="7" fillId="0" borderId="22" xfId="0" applyFont="1" applyBorder="1"/>
    <xf numFmtId="164" fontId="7" fillId="0" borderId="21" xfId="0" applyNumberFormat="1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/>
    <xf numFmtId="0" fontId="13" fillId="0" borderId="0" xfId="0" applyFont="1" applyAlignment="1">
      <alignment horizontal="center"/>
    </xf>
    <xf numFmtId="164" fontId="7" fillId="0" borderId="0" xfId="0" applyNumberFormat="1" applyFont="1"/>
    <xf numFmtId="0" fontId="0" fillId="0" borderId="0" xfId="0" applyProtection="1">
      <protection locked="0"/>
    </xf>
    <xf numFmtId="0" fontId="5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5" fillId="0" borderId="17" xfId="0" applyFont="1" applyBorder="1"/>
    <xf numFmtId="0" fontId="5" fillId="0" borderId="0" xfId="0" applyFont="1" applyAlignment="1" applyProtection="1">
      <alignment horizontal="center"/>
      <protection locked="0"/>
    </xf>
    <xf numFmtId="0" fontId="7" fillId="0" borderId="0" xfId="0" applyFont="1" applyAlignment="1">
      <alignment horizontal="centerContinuous"/>
    </xf>
    <xf numFmtId="0" fontId="7" fillId="0" borderId="17" xfId="0" applyFont="1" applyBorder="1" applyAlignment="1">
      <alignment horizontal="centerContinuous"/>
    </xf>
    <xf numFmtId="0" fontId="7" fillId="0" borderId="8" xfId="0" applyFont="1" applyBorder="1" applyAlignment="1">
      <alignment horizontal="center"/>
    </xf>
    <xf numFmtId="165" fontId="7" fillId="0" borderId="8" xfId="0" applyNumberFormat="1" applyFont="1" applyBorder="1" applyAlignment="1" applyProtection="1">
      <alignment horizontal="center"/>
      <protection locked="0"/>
    </xf>
    <xf numFmtId="165" fontId="7" fillId="0" borderId="2" xfId="0" applyNumberFormat="1" applyFont="1" applyBorder="1" applyAlignment="1" applyProtection="1">
      <alignment horizontal="center"/>
      <protection locked="0"/>
    </xf>
    <xf numFmtId="165" fontId="7" fillId="0" borderId="7" xfId="0" applyNumberFormat="1" applyFont="1" applyBorder="1" applyAlignment="1" applyProtection="1">
      <alignment horizontal="center"/>
      <protection locked="0"/>
    </xf>
    <xf numFmtId="165" fontId="7" fillId="0" borderId="3" xfId="0" applyNumberFormat="1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center"/>
    </xf>
    <xf numFmtId="12" fontId="4" fillId="0" borderId="5" xfId="0" quotePrefix="1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164" fontId="9" fillId="0" borderId="0" xfId="0" applyNumberFormat="1" applyFont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4" fillId="0" borderId="6" xfId="0" applyFont="1" applyBorder="1" applyAlignment="1">
      <alignment horizontal="center"/>
    </xf>
    <xf numFmtId="12" fontId="9" fillId="0" borderId="6" xfId="0" quotePrefix="1" applyNumberFormat="1" applyFont="1" applyBorder="1" applyAlignment="1">
      <alignment horizontal="center"/>
    </xf>
    <xf numFmtId="0" fontId="0" fillId="0" borderId="17" xfId="0" applyBorder="1"/>
    <xf numFmtId="0" fontId="5" fillId="0" borderId="8" xfId="0" applyFont="1" applyBorder="1"/>
    <xf numFmtId="0" fontId="0" fillId="0" borderId="2" xfId="0" applyBorder="1"/>
    <xf numFmtId="0" fontId="9" fillId="0" borderId="8" xfId="0" applyFont="1" applyBorder="1"/>
    <xf numFmtId="0" fontId="0" fillId="0" borderId="7" xfId="0" applyBorder="1"/>
    <xf numFmtId="0" fontId="0" fillId="0" borderId="1" xfId="0" applyBorder="1"/>
    <xf numFmtId="0" fontId="0" fillId="0" borderId="3" xfId="0" applyBorder="1"/>
    <xf numFmtId="0" fontId="0" fillId="0" borderId="19" xfId="0" applyBorder="1" applyAlignment="1">
      <alignment horizontal="centerContinuous"/>
    </xf>
    <xf numFmtId="0" fontId="7" fillId="0" borderId="2" xfId="0" applyFont="1" applyBorder="1"/>
    <xf numFmtId="165" fontId="7" fillId="0" borderId="2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0" fontId="0" fillId="2" borderId="0" xfId="0" applyFill="1"/>
    <xf numFmtId="0" fontId="2" fillId="2" borderId="9" xfId="0" applyFont="1" applyFill="1" applyBorder="1"/>
    <xf numFmtId="0" fontId="0" fillId="2" borderId="10" xfId="0" applyFill="1" applyBorder="1"/>
    <xf numFmtId="0" fontId="0" fillId="2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0" fillId="2" borderId="0" xfId="0" applyFill="1" applyProtection="1">
      <protection hidden="1"/>
    </xf>
    <xf numFmtId="0" fontId="2" fillId="2" borderId="12" xfId="0" applyFont="1" applyFill="1" applyBorder="1"/>
    <xf numFmtId="0" fontId="0" fillId="2" borderId="13" xfId="0" applyFill="1" applyBorder="1" applyProtection="1">
      <protection hidden="1"/>
    </xf>
    <xf numFmtId="0" fontId="0" fillId="2" borderId="12" xfId="0" applyFill="1" applyBorder="1"/>
    <xf numFmtId="0" fontId="5" fillId="2" borderId="0" xfId="0" applyFont="1" applyFill="1" applyAlignment="1">
      <alignment horizontal="center"/>
    </xf>
    <xf numFmtId="0" fontId="5" fillId="2" borderId="12" xfId="0" applyFont="1" applyFill="1" applyBorder="1"/>
    <xf numFmtId="0" fontId="5" fillId="2" borderId="0" xfId="0" applyFont="1" applyFill="1"/>
    <xf numFmtId="0" fontId="5" fillId="2" borderId="12" xfId="0" applyFont="1" applyFill="1" applyBorder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5" fillId="2" borderId="0" xfId="0" applyFont="1" applyFill="1" applyProtection="1">
      <protection hidden="1"/>
    </xf>
    <xf numFmtId="0" fontId="5" fillId="2" borderId="0" xfId="0" applyFont="1" applyFill="1" applyAlignment="1" applyProtection="1">
      <alignment horizontal="left"/>
      <protection hidden="1"/>
    </xf>
    <xf numFmtId="164" fontId="7" fillId="2" borderId="0" xfId="0" applyNumberFormat="1" applyFont="1" applyFill="1" applyAlignment="1" applyProtection="1">
      <alignment horizontal="center"/>
      <protection hidden="1"/>
    </xf>
    <xf numFmtId="0" fontId="5" fillId="2" borderId="0" xfId="0" applyFont="1" applyFill="1" applyAlignment="1" applyProtection="1">
      <alignment horizontal="right"/>
      <protection hidden="1"/>
    </xf>
    <xf numFmtId="0" fontId="9" fillId="2" borderId="0" xfId="0" applyFont="1" applyFill="1" applyProtection="1">
      <protection hidden="1"/>
    </xf>
    <xf numFmtId="3" fontId="7" fillId="2" borderId="0" xfId="0" applyNumberFormat="1" applyFont="1" applyFill="1" applyAlignment="1" applyProtection="1">
      <alignment horizontal="center"/>
      <protection hidden="1"/>
    </xf>
    <xf numFmtId="3" fontId="7" fillId="2" borderId="0" xfId="0" applyNumberFormat="1" applyFont="1" applyFill="1" applyAlignment="1" applyProtection="1">
      <alignment horizontal="right"/>
      <protection hidden="1"/>
    </xf>
    <xf numFmtId="0" fontId="5" fillId="2" borderId="13" xfId="0" applyFont="1" applyFill="1" applyBorder="1"/>
    <xf numFmtId="165" fontId="7" fillId="2" borderId="0" xfId="0" applyNumberFormat="1" applyFont="1" applyFill="1" applyAlignment="1" applyProtection="1">
      <alignment horizontal="center"/>
      <protection hidden="1"/>
    </xf>
    <xf numFmtId="164" fontId="7" fillId="2" borderId="0" xfId="0" applyNumberFormat="1" applyFont="1" applyFill="1" applyProtection="1">
      <protection hidden="1"/>
    </xf>
    <xf numFmtId="0" fontId="5" fillId="2" borderId="13" xfId="0" applyFont="1" applyFill="1" applyBorder="1" applyProtection="1">
      <protection hidden="1"/>
    </xf>
    <xf numFmtId="165" fontId="0" fillId="2" borderId="0" xfId="0" applyNumberFormat="1" applyFill="1" applyAlignment="1" applyProtection="1">
      <alignment horizontal="center"/>
      <protection hidden="1"/>
    </xf>
    <xf numFmtId="164" fontId="9" fillId="2" borderId="0" xfId="0" applyNumberFormat="1" applyFont="1" applyFill="1" applyProtection="1">
      <protection hidden="1"/>
    </xf>
    <xf numFmtId="0" fontId="5" fillId="2" borderId="14" xfId="0" applyFont="1" applyFill="1" applyBorder="1" applyProtection="1">
      <protection hidden="1"/>
    </xf>
    <xf numFmtId="3" fontId="7" fillId="2" borderId="15" xfId="0" applyNumberFormat="1" applyFont="1" applyFill="1" applyBorder="1" applyAlignment="1" applyProtection="1">
      <alignment horizontal="center"/>
      <protection hidden="1"/>
    </xf>
    <xf numFmtId="164" fontId="9" fillId="2" borderId="15" xfId="0" applyNumberFormat="1" applyFont="1" applyFill="1" applyBorder="1" applyProtection="1">
      <protection hidden="1"/>
    </xf>
    <xf numFmtId="0" fontId="5" fillId="2" borderId="16" xfId="0" applyFont="1" applyFill="1" applyBorder="1" applyProtection="1">
      <protection hidden="1"/>
    </xf>
    <xf numFmtId="0" fontId="6" fillId="2" borderId="0" xfId="0" applyFont="1" applyFill="1"/>
    <xf numFmtId="0" fontId="12" fillId="2" borderId="0" xfId="0" applyFont="1" applyFill="1" applyProtection="1">
      <protection hidden="1"/>
    </xf>
    <xf numFmtId="0" fontId="5" fillId="2" borderId="0" xfId="0" applyFont="1" applyFill="1" applyAlignment="1" applyProtection="1">
      <alignment horizontal="center"/>
      <protection hidden="1"/>
    </xf>
    <xf numFmtId="164" fontId="0" fillId="2" borderId="0" xfId="0" applyNumberFormat="1" applyFill="1"/>
    <xf numFmtId="0" fontId="7" fillId="0" borderId="23" xfId="0" applyFont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center"/>
      <protection locked="0" hidden="1"/>
    </xf>
  </cellXfs>
  <cellStyles count="1">
    <cellStyle name="Normal" xfId="0" builtinId="0"/>
  </cellStyles>
  <dxfs count="1"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00FFFF"/>
      <color rgb="FF66FFFF"/>
      <color rgb="FF99CCFF"/>
      <color rgb="FF6699FF"/>
      <color rgb="FFC0C0C0"/>
      <color rgb="FFCCFFFF"/>
      <color rgb="FFFFFF99"/>
      <color rgb="FFFF6600"/>
      <color rgb="FF66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 Final</a:t>
            </a:r>
          </a:p>
        </c:rich>
      </c:tx>
      <c:layout>
        <c:manualLayout>
          <c:xMode val="edge"/>
          <c:yMode val="edge"/>
          <c:x val="0.43200809396032291"/>
          <c:y val="0.9249949535919888"/>
        </c:manualLayout>
      </c:layout>
      <c:overlay val="1"/>
    </c:title>
    <c:autoTitleDeleted val="0"/>
    <c:view3D>
      <c:rotX val="0"/>
      <c:hPercent val="217"/>
      <c:rotY val="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ysClr val="window" lastClr="FFFFFF">
            <a:lumMod val="95000"/>
            <a:alpha val="0"/>
          </a:sysClr>
        </a:solidFill>
        <a:ln w="25400">
          <a:noFill/>
        </a:ln>
      </c:spPr>
    </c:sideWall>
    <c:backWall>
      <c:thickness val="0"/>
      <c:spPr>
        <a:solidFill>
          <a:sysClr val="window" lastClr="FFFFFF">
            <a:lumMod val="95000"/>
            <a:alpha val="0"/>
          </a:sysClr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1619966423116451E-2"/>
          <c:y val="6.1794854439756923E-3"/>
          <c:w val="0.91521316592181923"/>
          <c:h val="0.97250118713523759"/>
        </c:manualLayout>
      </c:layout>
      <c:bar3DChart>
        <c:barDir val="col"/>
        <c:grouping val="percentStacked"/>
        <c:varyColors val="0"/>
        <c:ser>
          <c:idx val="0"/>
          <c:order val="0"/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Calculation!$C$13</c:f>
              <c:numCache>
                <c:formatCode>General</c:formatCode>
                <c:ptCount val="1"/>
                <c:pt idx="0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4-4B8C-BDA8-375302D23929}"/>
            </c:ext>
          </c:extLst>
        </c:ser>
        <c:ser>
          <c:idx val="1"/>
          <c:order val="1"/>
          <c:spPr>
            <a:solidFill>
              <a:srgbClr val="FF6600">
                <a:alpha val="98824"/>
              </a:srgb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Calculation!$D$13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C4-4B8C-BDA8-375302D23929}"/>
            </c:ext>
          </c:extLst>
        </c:ser>
        <c:ser>
          <c:idx val="2"/>
          <c:order val="2"/>
          <c:spPr>
            <a:solidFill>
              <a:srgbClr val="FFFF99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Calculation!$E$13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C4-4B8C-BDA8-375302D23929}"/>
            </c:ext>
          </c:extLst>
        </c:ser>
        <c:ser>
          <c:idx val="3"/>
          <c:order val="3"/>
          <c:spPr>
            <a:solidFill>
              <a:srgbClr val="CCFFFF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Calculation!$F$13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C4-4B8C-BDA8-375302D23929}"/>
            </c:ext>
          </c:extLst>
        </c:ser>
        <c:ser>
          <c:idx val="4"/>
          <c:order val="4"/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5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Calculation!$S$16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C4-4B8C-BDA8-375302D239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80336128"/>
        <c:axId val="180337664"/>
        <c:axId val="0"/>
      </c:bar3DChart>
      <c:catAx>
        <c:axId val="180336128"/>
        <c:scaling>
          <c:orientation val="minMax"/>
        </c:scaling>
        <c:delete val="1"/>
        <c:axPos val="b"/>
        <c:majorTickMark val="out"/>
        <c:minorTickMark val="none"/>
        <c:tickLblPos val="none"/>
        <c:crossAx val="180337664"/>
        <c:crosses val="autoZero"/>
        <c:auto val="1"/>
        <c:lblAlgn val="ctr"/>
        <c:lblOffset val="100"/>
        <c:noMultiLvlLbl val="0"/>
      </c:catAx>
      <c:valAx>
        <c:axId val="180337664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crossAx val="180336128"/>
        <c:crosses val="autoZero"/>
        <c:crossBetween val="between"/>
      </c:valAx>
      <c:spPr>
        <a:solidFill>
          <a:sysClr val="window" lastClr="FFFFFF">
            <a:lumMod val="95000"/>
            <a:alpha val="0"/>
          </a:sysClr>
        </a:solidFill>
        <a:ln w="25400">
          <a:noFill/>
        </a:ln>
      </c:spPr>
    </c:plotArea>
    <c:plotVisOnly val="0"/>
    <c:dispBlanksAs val="gap"/>
    <c:showDLblsOverMax val="0"/>
  </c:chart>
  <c:spPr>
    <a:solidFill>
      <a:schemeClr val="bg1">
        <a:lumMod val="95000"/>
      </a:schemeClr>
    </a:solidFill>
    <a:ln w="9525">
      <a:noFill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55" r="0.75000000000000755" t="1" header="0.5" footer="0.5"/>
    <c:pageSetup orientation="landscape" horizontalDpi="-3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As Loaded</a:t>
            </a:r>
          </a:p>
        </c:rich>
      </c:tx>
      <c:layout>
        <c:manualLayout>
          <c:xMode val="edge"/>
          <c:yMode val="edge"/>
          <c:x val="0.34262261909998737"/>
          <c:y val="0.92499495359198824"/>
        </c:manualLayout>
      </c:layout>
      <c:overlay val="1"/>
    </c:title>
    <c:autoTitleDeleted val="0"/>
    <c:view3D>
      <c:rotX val="0"/>
      <c:hPercent val="217"/>
      <c:rotY val="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ysClr val="window" lastClr="FFFFFF">
            <a:lumMod val="95000"/>
            <a:alpha val="0"/>
          </a:sysClr>
        </a:solidFill>
        <a:ln w="25400">
          <a:noFill/>
        </a:ln>
      </c:spPr>
    </c:sideWall>
    <c:backWall>
      <c:thickness val="0"/>
      <c:spPr>
        <a:solidFill>
          <a:sysClr val="window" lastClr="FFFFFF">
            <a:lumMod val="95000"/>
            <a:alpha val="0"/>
          </a:sysClr>
        </a:solidFill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1619966423116465E-2"/>
          <c:y val="6.1794854439756923E-3"/>
          <c:w val="0.91521316592181878"/>
          <c:h val="0.97250118713523759"/>
        </c:manualLayout>
      </c:layout>
      <c:bar3DChart>
        <c:barDir val="col"/>
        <c:grouping val="percentStacked"/>
        <c:varyColors val="0"/>
        <c:ser>
          <c:idx val="0"/>
          <c:order val="0"/>
          <c:spPr>
            <a:solidFill>
              <a:srgbClr val="FF0000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Calculation!$U$20</c:f>
              <c:numCache>
                <c:formatCode>0.0</c:formatCode>
                <c:ptCount val="1"/>
                <c:pt idx="0">
                  <c:v>25.209759600588178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00-4D73-918E-1C9C49AAF5A4}"/>
            </c:ext>
          </c:extLst>
        </c:ser>
        <c:ser>
          <c:idx val="1"/>
          <c:order val="1"/>
          <c:spPr>
            <a:solidFill>
              <a:srgbClr val="FF6600">
                <a:alpha val="98824"/>
              </a:srgbClr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Calculation!$U$19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00-4D73-918E-1C9C49AAF5A4}"/>
            </c:ext>
          </c:extLst>
        </c:ser>
        <c:ser>
          <c:idx val="2"/>
          <c:order val="2"/>
          <c:spPr>
            <a:solidFill>
              <a:srgbClr val="FFFF99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Calculation!$U$18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00-4D73-918E-1C9C49AAF5A4}"/>
            </c:ext>
          </c:extLst>
        </c:ser>
        <c:ser>
          <c:idx val="3"/>
          <c:order val="3"/>
          <c:spPr>
            <a:solidFill>
              <a:srgbClr val="CCFFFF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Calculation!$U$17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00-4D73-918E-1C9C49AAF5A4}"/>
            </c:ext>
          </c:extLst>
        </c:ser>
        <c:ser>
          <c:idx val="4"/>
          <c:order val="4"/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5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Calculation!$U$16</c:f>
              <c:numCache>
                <c:formatCode>0.0</c:formatCode>
                <c:ptCount val="1"/>
                <c:pt idx="0">
                  <c:v>12.790240399411822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00-4D73-918E-1C9C49AAF5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82039296"/>
        <c:axId val="182040832"/>
        <c:axId val="0"/>
      </c:bar3DChart>
      <c:catAx>
        <c:axId val="182039296"/>
        <c:scaling>
          <c:orientation val="minMax"/>
        </c:scaling>
        <c:delete val="1"/>
        <c:axPos val="b"/>
        <c:majorTickMark val="out"/>
        <c:minorTickMark val="none"/>
        <c:tickLblPos val="none"/>
        <c:crossAx val="182040832"/>
        <c:crosses val="autoZero"/>
        <c:auto val="1"/>
        <c:lblAlgn val="ctr"/>
        <c:lblOffset val="100"/>
        <c:noMultiLvlLbl val="0"/>
      </c:catAx>
      <c:valAx>
        <c:axId val="182040832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>
                    <a:lumMod val="95000"/>
                  </a:schemeClr>
                </a:solidFill>
              </a:defRPr>
            </a:pPr>
            <a:endParaRPr lang="en-US"/>
          </a:p>
        </c:txPr>
        <c:crossAx val="18203929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chemeClr val="bg1">
        <a:lumMod val="95000"/>
      </a:schemeClr>
    </a:solidFill>
    <a:ln w="9525">
      <a:noFill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777" r="0.75000000000000777" t="1" header="0.5" footer="0.5"/>
    <c:pageSetup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Drop" dropStyle="combo" dx="16" fmlaLink="$O$3" fmlaRange="$O$31:$P$52" noThreeD="1" sel="4" val="3"/>
</file>

<file path=xl/ctrlProps/ctrlProp2.xml><?xml version="1.0" encoding="utf-8"?>
<formControlPr xmlns="http://schemas.microsoft.com/office/spreadsheetml/2009/9/main" objectType="CheckBox" fmlaLink="$O$10" lockText="1" noThreeD="1"/>
</file>

<file path=xl/ctrlProps/ctrlProp3.xml><?xml version="1.0" encoding="utf-8"?>
<formControlPr xmlns="http://schemas.microsoft.com/office/spreadsheetml/2009/9/main" objectType="CheckBox" fmlaLink="$Q$10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T$3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38102</xdr:rowOff>
    </xdr:from>
    <xdr:to>
      <xdr:col>12</xdr:col>
      <xdr:colOff>561975</xdr:colOff>
      <xdr:row>21</xdr:row>
      <xdr:rowOff>66675</xdr:rowOff>
    </xdr:to>
    <xdr:graphicFrame macro="">
      <xdr:nvGraphicFramePr>
        <xdr:cNvPr id="2" name="Chart 5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66675</xdr:colOff>
      <xdr:row>1</xdr:row>
      <xdr:rowOff>57150</xdr:rowOff>
    </xdr:from>
    <xdr:to>
      <xdr:col>4</xdr:col>
      <xdr:colOff>28575</xdr:colOff>
      <xdr:row>4</xdr:row>
      <xdr:rowOff>9525</xdr:rowOff>
    </xdr:to>
    <xdr:grpSp>
      <xdr:nvGrpSpPr>
        <xdr:cNvPr id="3266" name="Group 194">
          <a:extLs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GrpSpPr>
          <a:grpSpLocks/>
        </xdr:cNvGrpSpPr>
      </xdr:nvGrpSpPr>
      <xdr:grpSpPr bwMode="auto">
        <a:xfrm>
          <a:off x="1354455" y="224790"/>
          <a:ext cx="1211580" cy="600075"/>
          <a:chOff x="978" y="12684"/>
          <a:chExt cx="4461" cy="2243"/>
        </a:xfrm>
      </xdr:grpSpPr>
      <xdr:sp macro="" textlink="">
        <xdr:nvSpPr>
          <xdr:cNvPr id="3267" name="Freeform 195">
            <a:extLst>
              <a:ext uri="{FF2B5EF4-FFF2-40B4-BE49-F238E27FC236}">
                <a16:creationId xmlns:a16="http://schemas.microsoft.com/office/drawing/2014/main" id="{00000000-0008-0000-0000-0000C30C0000}"/>
              </a:ext>
            </a:extLst>
          </xdr:cNvPr>
          <xdr:cNvSpPr>
            <a:spLocks noEditPoints="1"/>
          </xdr:cNvSpPr>
        </xdr:nvSpPr>
        <xdr:spPr bwMode="auto">
          <a:xfrm>
            <a:off x="1017" y="14187"/>
            <a:ext cx="479" cy="572"/>
          </a:xfrm>
          <a:custGeom>
            <a:avLst/>
            <a:gdLst/>
            <a:ahLst/>
            <a:cxnLst>
              <a:cxn ang="0">
                <a:pos x="64" y="0"/>
              </a:cxn>
              <a:cxn ang="0">
                <a:pos x="287" y="0"/>
              </a:cxn>
              <a:cxn ang="0">
                <a:pos x="421" y="0"/>
              </a:cxn>
              <a:cxn ang="0">
                <a:pos x="518" y="2"/>
              </a:cxn>
              <a:cxn ang="0">
                <a:pos x="596" y="12"/>
              </a:cxn>
              <a:cxn ang="0">
                <a:pos x="664" y="29"/>
              </a:cxn>
              <a:cxn ang="0">
                <a:pos x="731" y="63"/>
              </a:cxn>
              <a:cxn ang="0">
                <a:pos x="792" y="108"/>
              </a:cxn>
              <a:cxn ang="0">
                <a:pos x="844" y="166"/>
              </a:cxn>
              <a:cxn ang="0">
                <a:pos x="887" y="235"/>
              </a:cxn>
              <a:cxn ang="0">
                <a:pos x="921" y="313"/>
              </a:cxn>
              <a:cxn ang="0">
                <a:pos x="943" y="401"/>
              </a:cxn>
              <a:cxn ang="0">
                <a:pos x="955" y="505"/>
              </a:cxn>
              <a:cxn ang="0">
                <a:pos x="956" y="616"/>
              </a:cxn>
              <a:cxn ang="0">
                <a:pos x="948" y="714"/>
              </a:cxn>
              <a:cxn ang="0">
                <a:pos x="930" y="799"/>
              </a:cxn>
              <a:cxn ang="0">
                <a:pos x="898" y="884"/>
              </a:cxn>
              <a:cxn ang="0">
                <a:pos x="855" y="962"/>
              </a:cxn>
              <a:cxn ang="0">
                <a:pos x="801" y="1027"/>
              </a:cxn>
              <a:cxn ang="0">
                <a:pos x="749" y="1066"/>
              </a:cxn>
              <a:cxn ang="0">
                <a:pos x="687" y="1100"/>
              </a:cxn>
              <a:cxn ang="0">
                <a:pos x="618" y="1124"/>
              </a:cxn>
              <a:cxn ang="0">
                <a:pos x="548" y="1136"/>
              </a:cxn>
              <a:cxn ang="0">
                <a:pos x="464" y="1142"/>
              </a:cxn>
              <a:cxn ang="0">
                <a:pos x="365" y="1143"/>
              </a:cxn>
              <a:cxn ang="0">
                <a:pos x="136" y="1143"/>
              </a:cxn>
              <a:cxn ang="0">
                <a:pos x="0" y="1143"/>
              </a:cxn>
              <a:cxn ang="0">
                <a:pos x="0" y="780"/>
              </a:cxn>
              <a:cxn ang="0">
                <a:pos x="0" y="177"/>
              </a:cxn>
              <a:cxn ang="0">
                <a:pos x="231" y="193"/>
              </a:cxn>
              <a:cxn ang="0">
                <a:pos x="231" y="432"/>
              </a:cxn>
              <a:cxn ang="0">
                <a:pos x="231" y="831"/>
              </a:cxn>
              <a:cxn ang="0">
                <a:pos x="238" y="950"/>
              </a:cxn>
              <a:cxn ang="0">
                <a:pos x="318" y="950"/>
              </a:cxn>
              <a:cxn ang="0">
                <a:pos x="396" y="950"/>
              </a:cxn>
              <a:cxn ang="0">
                <a:pos x="448" y="948"/>
              </a:cxn>
              <a:cxn ang="0">
                <a:pos x="504" y="945"/>
              </a:cxn>
              <a:cxn ang="0">
                <a:pos x="544" y="939"/>
              </a:cxn>
              <a:cxn ang="0">
                <a:pos x="582" y="925"/>
              </a:cxn>
              <a:cxn ang="0">
                <a:pos x="617" y="905"/>
              </a:cxn>
              <a:cxn ang="0">
                <a:pos x="645" y="881"/>
              </a:cxn>
              <a:cxn ang="0">
                <a:pos x="669" y="846"/>
              </a:cxn>
              <a:cxn ang="0">
                <a:pos x="689" y="798"/>
              </a:cxn>
              <a:cxn ang="0">
                <a:pos x="706" y="739"/>
              </a:cxn>
              <a:cxn ang="0">
                <a:pos x="715" y="663"/>
              </a:cxn>
              <a:cxn ang="0">
                <a:pos x="719" y="572"/>
              </a:cxn>
              <a:cxn ang="0">
                <a:pos x="715" y="481"/>
              </a:cxn>
              <a:cxn ang="0">
                <a:pos x="706" y="407"/>
              </a:cxn>
              <a:cxn ang="0">
                <a:pos x="689" y="350"/>
              </a:cxn>
              <a:cxn ang="0">
                <a:pos x="668" y="305"/>
              </a:cxn>
              <a:cxn ang="0">
                <a:pos x="641" y="268"/>
              </a:cxn>
              <a:cxn ang="0">
                <a:pos x="609" y="240"/>
              </a:cxn>
              <a:cxn ang="0">
                <a:pos x="570" y="219"/>
              </a:cxn>
              <a:cxn ang="0">
                <a:pos x="524" y="205"/>
              </a:cxn>
              <a:cxn ang="0">
                <a:pos x="474" y="197"/>
              </a:cxn>
              <a:cxn ang="0">
                <a:pos x="398" y="193"/>
              </a:cxn>
              <a:cxn ang="0">
                <a:pos x="330" y="193"/>
              </a:cxn>
              <a:cxn ang="0">
                <a:pos x="283" y="193"/>
              </a:cxn>
              <a:cxn ang="0">
                <a:pos x="236" y="193"/>
              </a:cxn>
            </a:cxnLst>
            <a:rect l="0" t="0" r="r" b="b"/>
            <a:pathLst>
              <a:path w="957" h="1143">
                <a:moveTo>
                  <a:pt x="0" y="0"/>
                </a:moveTo>
                <a:lnTo>
                  <a:pt x="17" y="0"/>
                </a:lnTo>
                <a:lnTo>
                  <a:pt x="64" y="0"/>
                </a:lnTo>
                <a:lnTo>
                  <a:pt x="133" y="0"/>
                </a:lnTo>
                <a:lnTo>
                  <a:pt x="210" y="0"/>
                </a:lnTo>
                <a:lnTo>
                  <a:pt x="287" y="0"/>
                </a:lnTo>
                <a:lnTo>
                  <a:pt x="355" y="0"/>
                </a:lnTo>
                <a:lnTo>
                  <a:pt x="403" y="0"/>
                </a:lnTo>
                <a:lnTo>
                  <a:pt x="421" y="0"/>
                </a:lnTo>
                <a:lnTo>
                  <a:pt x="455" y="0"/>
                </a:lnTo>
                <a:lnTo>
                  <a:pt x="487" y="1"/>
                </a:lnTo>
                <a:lnTo>
                  <a:pt x="518" y="2"/>
                </a:lnTo>
                <a:lnTo>
                  <a:pt x="547" y="5"/>
                </a:lnTo>
                <a:lnTo>
                  <a:pt x="572" y="8"/>
                </a:lnTo>
                <a:lnTo>
                  <a:pt x="596" y="12"/>
                </a:lnTo>
                <a:lnTo>
                  <a:pt x="619" y="17"/>
                </a:lnTo>
                <a:lnTo>
                  <a:pt x="640" y="22"/>
                </a:lnTo>
                <a:lnTo>
                  <a:pt x="664" y="29"/>
                </a:lnTo>
                <a:lnTo>
                  <a:pt x="687" y="39"/>
                </a:lnTo>
                <a:lnTo>
                  <a:pt x="710" y="51"/>
                </a:lnTo>
                <a:lnTo>
                  <a:pt x="731" y="63"/>
                </a:lnTo>
                <a:lnTo>
                  <a:pt x="753" y="76"/>
                </a:lnTo>
                <a:lnTo>
                  <a:pt x="773" y="92"/>
                </a:lnTo>
                <a:lnTo>
                  <a:pt x="792" y="108"/>
                </a:lnTo>
                <a:lnTo>
                  <a:pt x="811" y="127"/>
                </a:lnTo>
                <a:lnTo>
                  <a:pt x="828" y="146"/>
                </a:lnTo>
                <a:lnTo>
                  <a:pt x="844" y="166"/>
                </a:lnTo>
                <a:lnTo>
                  <a:pt x="859" y="188"/>
                </a:lnTo>
                <a:lnTo>
                  <a:pt x="874" y="210"/>
                </a:lnTo>
                <a:lnTo>
                  <a:pt x="887" y="235"/>
                </a:lnTo>
                <a:lnTo>
                  <a:pt x="899" y="259"/>
                </a:lnTo>
                <a:lnTo>
                  <a:pt x="910" y="286"/>
                </a:lnTo>
                <a:lnTo>
                  <a:pt x="921" y="313"/>
                </a:lnTo>
                <a:lnTo>
                  <a:pt x="929" y="339"/>
                </a:lnTo>
                <a:lnTo>
                  <a:pt x="936" y="369"/>
                </a:lnTo>
                <a:lnTo>
                  <a:pt x="943" y="401"/>
                </a:lnTo>
                <a:lnTo>
                  <a:pt x="948" y="434"/>
                </a:lnTo>
                <a:lnTo>
                  <a:pt x="952" y="468"/>
                </a:lnTo>
                <a:lnTo>
                  <a:pt x="955" y="505"/>
                </a:lnTo>
                <a:lnTo>
                  <a:pt x="956" y="542"/>
                </a:lnTo>
                <a:lnTo>
                  <a:pt x="957" y="583"/>
                </a:lnTo>
                <a:lnTo>
                  <a:pt x="956" y="616"/>
                </a:lnTo>
                <a:lnTo>
                  <a:pt x="955" y="650"/>
                </a:lnTo>
                <a:lnTo>
                  <a:pt x="952" y="682"/>
                </a:lnTo>
                <a:lnTo>
                  <a:pt x="948" y="714"/>
                </a:lnTo>
                <a:lnTo>
                  <a:pt x="944" y="744"/>
                </a:lnTo>
                <a:lnTo>
                  <a:pt x="937" y="772"/>
                </a:lnTo>
                <a:lnTo>
                  <a:pt x="930" y="799"/>
                </a:lnTo>
                <a:lnTo>
                  <a:pt x="922" y="826"/>
                </a:lnTo>
                <a:lnTo>
                  <a:pt x="910" y="855"/>
                </a:lnTo>
                <a:lnTo>
                  <a:pt x="898" y="884"/>
                </a:lnTo>
                <a:lnTo>
                  <a:pt x="885" y="911"/>
                </a:lnTo>
                <a:lnTo>
                  <a:pt x="870" y="937"/>
                </a:lnTo>
                <a:lnTo>
                  <a:pt x="855" y="962"/>
                </a:lnTo>
                <a:lnTo>
                  <a:pt x="837" y="984"/>
                </a:lnTo>
                <a:lnTo>
                  <a:pt x="820" y="1006"/>
                </a:lnTo>
                <a:lnTo>
                  <a:pt x="801" y="1027"/>
                </a:lnTo>
                <a:lnTo>
                  <a:pt x="785" y="1041"/>
                </a:lnTo>
                <a:lnTo>
                  <a:pt x="767" y="1054"/>
                </a:lnTo>
                <a:lnTo>
                  <a:pt x="749" y="1066"/>
                </a:lnTo>
                <a:lnTo>
                  <a:pt x="730" y="1079"/>
                </a:lnTo>
                <a:lnTo>
                  <a:pt x="708" y="1089"/>
                </a:lnTo>
                <a:lnTo>
                  <a:pt x="687" y="1100"/>
                </a:lnTo>
                <a:lnTo>
                  <a:pt x="662" y="1109"/>
                </a:lnTo>
                <a:lnTo>
                  <a:pt x="638" y="1119"/>
                </a:lnTo>
                <a:lnTo>
                  <a:pt x="618" y="1124"/>
                </a:lnTo>
                <a:lnTo>
                  <a:pt x="596" y="1128"/>
                </a:lnTo>
                <a:lnTo>
                  <a:pt x="574" y="1132"/>
                </a:lnTo>
                <a:lnTo>
                  <a:pt x="548" y="1136"/>
                </a:lnTo>
                <a:lnTo>
                  <a:pt x="522" y="1139"/>
                </a:lnTo>
                <a:lnTo>
                  <a:pt x="494" y="1140"/>
                </a:lnTo>
                <a:lnTo>
                  <a:pt x="464" y="1142"/>
                </a:lnTo>
                <a:lnTo>
                  <a:pt x="433" y="1143"/>
                </a:lnTo>
                <a:lnTo>
                  <a:pt x="415" y="1143"/>
                </a:lnTo>
                <a:lnTo>
                  <a:pt x="365" y="1143"/>
                </a:lnTo>
                <a:lnTo>
                  <a:pt x="296" y="1143"/>
                </a:lnTo>
                <a:lnTo>
                  <a:pt x="217" y="1143"/>
                </a:lnTo>
                <a:lnTo>
                  <a:pt x="136" y="1143"/>
                </a:lnTo>
                <a:lnTo>
                  <a:pt x="67" y="1143"/>
                </a:lnTo>
                <a:lnTo>
                  <a:pt x="17" y="1143"/>
                </a:lnTo>
                <a:lnTo>
                  <a:pt x="0" y="1143"/>
                </a:lnTo>
                <a:lnTo>
                  <a:pt x="0" y="1093"/>
                </a:lnTo>
                <a:lnTo>
                  <a:pt x="0" y="964"/>
                </a:lnTo>
                <a:lnTo>
                  <a:pt x="0" y="780"/>
                </a:lnTo>
                <a:lnTo>
                  <a:pt x="0" y="571"/>
                </a:lnTo>
                <a:lnTo>
                  <a:pt x="0" y="361"/>
                </a:lnTo>
                <a:lnTo>
                  <a:pt x="0" y="177"/>
                </a:lnTo>
                <a:lnTo>
                  <a:pt x="0" y="48"/>
                </a:lnTo>
                <a:lnTo>
                  <a:pt x="0" y="0"/>
                </a:lnTo>
                <a:close/>
                <a:moveTo>
                  <a:pt x="231" y="193"/>
                </a:moveTo>
                <a:lnTo>
                  <a:pt x="231" y="225"/>
                </a:lnTo>
                <a:lnTo>
                  <a:pt x="231" y="310"/>
                </a:lnTo>
                <a:lnTo>
                  <a:pt x="231" y="432"/>
                </a:lnTo>
                <a:lnTo>
                  <a:pt x="231" y="571"/>
                </a:lnTo>
                <a:lnTo>
                  <a:pt x="231" y="709"/>
                </a:lnTo>
                <a:lnTo>
                  <a:pt x="231" y="831"/>
                </a:lnTo>
                <a:lnTo>
                  <a:pt x="231" y="916"/>
                </a:lnTo>
                <a:lnTo>
                  <a:pt x="231" y="950"/>
                </a:lnTo>
                <a:lnTo>
                  <a:pt x="238" y="950"/>
                </a:lnTo>
                <a:lnTo>
                  <a:pt x="258" y="950"/>
                </a:lnTo>
                <a:lnTo>
                  <a:pt x="285" y="950"/>
                </a:lnTo>
                <a:lnTo>
                  <a:pt x="318" y="950"/>
                </a:lnTo>
                <a:lnTo>
                  <a:pt x="349" y="950"/>
                </a:lnTo>
                <a:lnTo>
                  <a:pt x="377" y="950"/>
                </a:lnTo>
                <a:lnTo>
                  <a:pt x="396" y="950"/>
                </a:lnTo>
                <a:lnTo>
                  <a:pt x="404" y="950"/>
                </a:lnTo>
                <a:lnTo>
                  <a:pt x="427" y="948"/>
                </a:lnTo>
                <a:lnTo>
                  <a:pt x="448" y="948"/>
                </a:lnTo>
                <a:lnTo>
                  <a:pt x="469" y="948"/>
                </a:lnTo>
                <a:lnTo>
                  <a:pt x="486" y="947"/>
                </a:lnTo>
                <a:lnTo>
                  <a:pt x="504" y="945"/>
                </a:lnTo>
                <a:lnTo>
                  <a:pt x="518" y="943"/>
                </a:lnTo>
                <a:lnTo>
                  <a:pt x="532" y="941"/>
                </a:lnTo>
                <a:lnTo>
                  <a:pt x="544" y="939"/>
                </a:lnTo>
                <a:lnTo>
                  <a:pt x="556" y="935"/>
                </a:lnTo>
                <a:lnTo>
                  <a:pt x="570" y="929"/>
                </a:lnTo>
                <a:lnTo>
                  <a:pt x="582" y="925"/>
                </a:lnTo>
                <a:lnTo>
                  <a:pt x="594" y="919"/>
                </a:lnTo>
                <a:lnTo>
                  <a:pt x="605" y="913"/>
                </a:lnTo>
                <a:lnTo>
                  <a:pt x="617" y="905"/>
                </a:lnTo>
                <a:lnTo>
                  <a:pt x="626" y="898"/>
                </a:lnTo>
                <a:lnTo>
                  <a:pt x="637" y="890"/>
                </a:lnTo>
                <a:lnTo>
                  <a:pt x="645" y="881"/>
                </a:lnTo>
                <a:lnTo>
                  <a:pt x="653" y="870"/>
                </a:lnTo>
                <a:lnTo>
                  <a:pt x="661" y="859"/>
                </a:lnTo>
                <a:lnTo>
                  <a:pt x="669" y="846"/>
                </a:lnTo>
                <a:lnTo>
                  <a:pt x="676" y="831"/>
                </a:lnTo>
                <a:lnTo>
                  <a:pt x="683" y="815"/>
                </a:lnTo>
                <a:lnTo>
                  <a:pt x="689" y="798"/>
                </a:lnTo>
                <a:lnTo>
                  <a:pt x="696" y="780"/>
                </a:lnTo>
                <a:lnTo>
                  <a:pt x="700" y="760"/>
                </a:lnTo>
                <a:lnTo>
                  <a:pt x="706" y="739"/>
                </a:lnTo>
                <a:lnTo>
                  <a:pt x="710" y="714"/>
                </a:lnTo>
                <a:lnTo>
                  <a:pt x="712" y="690"/>
                </a:lnTo>
                <a:lnTo>
                  <a:pt x="715" y="663"/>
                </a:lnTo>
                <a:lnTo>
                  <a:pt x="716" y="634"/>
                </a:lnTo>
                <a:lnTo>
                  <a:pt x="718" y="604"/>
                </a:lnTo>
                <a:lnTo>
                  <a:pt x="719" y="572"/>
                </a:lnTo>
                <a:lnTo>
                  <a:pt x="718" y="538"/>
                </a:lnTo>
                <a:lnTo>
                  <a:pt x="716" y="509"/>
                </a:lnTo>
                <a:lnTo>
                  <a:pt x="715" y="481"/>
                </a:lnTo>
                <a:lnTo>
                  <a:pt x="712" y="454"/>
                </a:lnTo>
                <a:lnTo>
                  <a:pt x="710" y="430"/>
                </a:lnTo>
                <a:lnTo>
                  <a:pt x="706" y="407"/>
                </a:lnTo>
                <a:lnTo>
                  <a:pt x="700" y="387"/>
                </a:lnTo>
                <a:lnTo>
                  <a:pt x="696" y="369"/>
                </a:lnTo>
                <a:lnTo>
                  <a:pt x="689" y="350"/>
                </a:lnTo>
                <a:lnTo>
                  <a:pt x="683" y="334"/>
                </a:lnTo>
                <a:lnTo>
                  <a:pt x="676" y="319"/>
                </a:lnTo>
                <a:lnTo>
                  <a:pt x="668" y="305"/>
                </a:lnTo>
                <a:lnTo>
                  <a:pt x="660" y="291"/>
                </a:lnTo>
                <a:lnTo>
                  <a:pt x="650" y="279"/>
                </a:lnTo>
                <a:lnTo>
                  <a:pt x="641" y="268"/>
                </a:lnTo>
                <a:lnTo>
                  <a:pt x="631" y="259"/>
                </a:lnTo>
                <a:lnTo>
                  <a:pt x="619" y="248"/>
                </a:lnTo>
                <a:lnTo>
                  <a:pt x="609" y="240"/>
                </a:lnTo>
                <a:lnTo>
                  <a:pt x="596" y="232"/>
                </a:lnTo>
                <a:lnTo>
                  <a:pt x="583" y="225"/>
                </a:lnTo>
                <a:lnTo>
                  <a:pt x="570" y="219"/>
                </a:lnTo>
                <a:lnTo>
                  <a:pt x="555" y="213"/>
                </a:lnTo>
                <a:lnTo>
                  <a:pt x="540" y="208"/>
                </a:lnTo>
                <a:lnTo>
                  <a:pt x="524" y="205"/>
                </a:lnTo>
                <a:lnTo>
                  <a:pt x="510" y="201"/>
                </a:lnTo>
                <a:lnTo>
                  <a:pt x="494" y="200"/>
                </a:lnTo>
                <a:lnTo>
                  <a:pt x="474" y="197"/>
                </a:lnTo>
                <a:lnTo>
                  <a:pt x="452" y="196"/>
                </a:lnTo>
                <a:lnTo>
                  <a:pt x="427" y="194"/>
                </a:lnTo>
                <a:lnTo>
                  <a:pt x="398" y="193"/>
                </a:lnTo>
                <a:lnTo>
                  <a:pt x="368" y="193"/>
                </a:lnTo>
                <a:lnTo>
                  <a:pt x="335" y="193"/>
                </a:lnTo>
                <a:lnTo>
                  <a:pt x="330" y="193"/>
                </a:lnTo>
                <a:lnTo>
                  <a:pt x="318" y="193"/>
                </a:lnTo>
                <a:lnTo>
                  <a:pt x="302" y="193"/>
                </a:lnTo>
                <a:lnTo>
                  <a:pt x="283" y="193"/>
                </a:lnTo>
                <a:lnTo>
                  <a:pt x="264" y="193"/>
                </a:lnTo>
                <a:lnTo>
                  <a:pt x="248" y="193"/>
                </a:lnTo>
                <a:lnTo>
                  <a:pt x="236" y="193"/>
                </a:lnTo>
                <a:lnTo>
                  <a:pt x="231" y="19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68" name="Freeform 196">
            <a:extLst>
              <a:ext uri="{FF2B5EF4-FFF2-40B4-BE49-F238E27FC236}">
                <a16:creationId xmlns:a16="http://schemas.microsoft.com/office/drawing/2014/main" id="{00000000-0008-0000-0000-0000C40C0000}"/>
              </a:ext>
            </a:extLst>
          </xdr:cNvPr>
          <xdr:cNvSpPr>
            <a:spLocks/>
          </xdr:cNvSpPr>
        </xdr:nvSpPr>
        <xdr:spPr bwMode="auto">
          <a:xfrm>
            <a:off x="1568" y="14344"/>
            <a:ext cx="426" cy="583"/>
          </a:xfrm>
          <a:custGeom>
            <a:avLst/>
            <a:gdLst/>
            <a:ahLst/>
            <a:cxnLst>
              <a:cxn ang="0">
                <a:pos x="36" y="0"/>
              </a:cxn>
              <a:cxn ang="0">
                <a:pos x="159" y="0"/>
              </a:cxn>
              <a:cxn ang="0">
                <a:pos x="233" y="0"/>
              </a:cxn>
              <a:cxn ang="0">
                <a:pos x="296" y="185"/>
              </a:cxn>
              <a:cxn ang="0">
                <a:pos x="401" y="496"/>
              </a:cxn>
              <a:cxn ang="0">
                <a:pos x="442" y="563"/>
              </a:cxn>
              <a:cxn ang="0">
                <a:pos x="531" y="294"/>
              </a:cxn>
              <a:cxn ang="0">
                <a:pos x="618" y="24"/>
              </a:cxn>
              <a:cxn ang="0">
                <a:pos x="663" y="0"/>
              </a:cxn>
              <a:cxn ang="0">
                <a:pos x="781" y="0"/>
              </a:cxn>
              <a:cxn ang="0">
                <a:pos x="854" y="0"/>
              </a:cxn>
              <a:cxn ang="0">
                <a:pos x="761" y="251"/>
              </a:cxn>
              <a:cxn ang="0">
                <a:pos x="606" y="672"/>
              </a:cxn>
              <a:cxn ang="0">
                <a:pos x="559" y="802"/>
              </a:cxn>
              <a:cxn ang="0">
                <a:pos x="535" y="869"/>
              </a:cxn>
              <a:cxn ang="0">
                <a:pos x="510" y="936"/>
              </a:cxn>
              <a:cxn ang="0">
                <a:pos x="493" y="977"/>
              </a:cxn>
              <a:cxn ang="0">
                <a:pos x="473" y="1020"/>
              </a:cxn>
              <a:cxn ang="0">
                <a:pos x="453" y="1053"/>
              </a:cxn>
              <a:cxn ang="0">
                <a:pos x="431" y="1080"/>
              </a:cxn>
              <a:cxn ang="0">
                <a:pos x="409" y="1103"/>
              </a:cxn>
              <a:cxn ang="0">
                <a:pos x="384" y="1121"/>
              </a:cxn>
              <a:cxn ang="0">
                <a:pos x="354" y="1135"/>
              </a:cxn>
              <a:cxn ang="0">
                <a:pos x="321" y="1149"/>
              </a:cxn>
              <a:cxn ang="0">
                <a:pos x="282" y="1158"/>
              </a:cxn>
              <a:cxn ang="0">
                <a:pos x="241" y="1164"/>
              </a:cxn>
              <a:cxn ang="0">
                <a:pos x="197" y="1166"/>
              </a:cxn>
              <a:cxn ang="0">
                <a:pos x="148" y="1164"/>
              </a:cxn>
              <a:cxn ang="0">
                <a:pos x="101" y="1158"/>
              </a:cxn>
              <a:cxn ang="0">
                <a:pos x="70" y="1145"/>
              </a:cxn>
              <a:cxn ang="0">
                <a:pos x="62" y="1067"/>
              </a:cxn>
              <a:cxn ang="0">
                <a:pos x="53" y="989"/>
              </a:cxn>
              <a:cxn ang="0">
                <a:pos x="77" y="986"/>
              </a:cxn>
              <a:cxn ang="0">
                <a:pos x="113" y="990"/>
              </a:cxn>
              <a:cxn ang="0">
                <a:pos x="146" y="992"/>
              </a:cxn>
              <a:cxn ang="0">
                <a:pos x="197" y="985"/>
              </a:cxn>
              <a:cxn ang="0">
                <a:pos x="238" y="966"/>
              </a:cxn>
              <a:cxn ang="0">
                <a:pos x="267" y="935"/>
              </a:cxn>
              <a:cxn ang="0">
                <a:pos x="291" y="895"/>
              </a:cxn>
              <a:cxn ang="0">
                <a:pos x="310" y="848"/>
              </a:cxn>
              <a:cxn ang="0">
                <a:pos x="267" y="701"/>
              </a:cxn>
              <a:cxn ang="0">
                <a:pos x="100" y="262"/>
              </a:cxn>
              <a:cxn ang="0">
                <a:pos x="0" y="0"/>
              </a:cxn>
            </a:cxnLst>
            <a:rect l="0" t="0" r="r" b="b"/>
            <a:pathLst>
              <a:path w="854" h="1166">
                <a:moveTo>
                  <a:pt x="0" y="0"/>
                </a:moveTo>
                <a:lnTo>
                  <a:pt x="10" y="0"/>
                </a:lnTo>
                <a:lnTo>
                  <a:pt x="36" y="0"/>
                </a:lnTo>
                <a:lnTo>
                  <a:pt x="73" y="0"/>
                </a:lnTo>
                <a:lnTo>
                  <a:pt x="116" y="0"/>
                </a:lnTo>
                <a:lnTo>
                  <a:pt x="159" y="0"/>
                </a:lnTo>
                <a:lnTo>
                  <a:pt x="195" y="0"/>
                </a:lnTo>
                <a:lnTo>
                  <a:pt x="222" y="0"/>
                </a:lnTo>
                <a:lnTo>
                  <a:pt x="233" y="0"/>
                </a:lnTo>
                <a:lnTo>
                  <a:pt x="241" y="24"/>
                </a:lnTo>
                <a:lnTo>
                  <a:pt x="264" y="91"/>
                </a:lnTo>
                <a:lnTo>
                  <a:pt x="296" y="185"/>
                </a:lnTo>
                <a:lnTo>
                  <a:pt x="333" y="294"/>
                </a:lnTo>
                <a:lnTo>
                  <a:pt x="369" y="402"/>
                </a:lnTo>
                <a:lnTo>
                  <a:pt x="401" y="496"/>
                </a:lnTo>
                <a:lnTo>
                  <a:pt x="424" y="563"/>
                </a:lnTo>
                <a:lnTo>
                  <a:pt x="434" y="588"/>
                </a:lnTo>
                <a:lnTo>
                  <a:pt x="442" y="563"/>
                </a:lnTo>
                <a:lnTo>
                  <a:pt x="463" y="496"/>
                </a:lnTo>
                <a:lnTo>
                  <a:pt x="494" y="402"/>
                </a:lnTo>
                <a:lnTo>
                  <a:pt x="531" y="294"/>
                </a:lnTo>
                <a:lnTo>
                  <a:pt x="566" y="185"/>
                </a:lnTo>
                <a:lnTo>
                  <a:pt x="597" y="91"/>
                </a:lnTo>
                <a:lnTo>
                  <a:pt x="618" y="24"/>
                </a:lnTo>
                <a:lnTo>
                  <a:pt x="628" y="0"/>
                </a:lnTo>
                <a:lnTo>
                  <a:pt x="637" y="0"/>
                </a:lnTo>
                <a:lnTo>
                  <a:pt x="663" y="0"/>
                </a:lnTo>
                <a:lnTo>
                  <a:pt x="699" y="0"/>
                </a:lnTo>
                <a:lnTo>
                  <a:pt x="741" y="0"/>
                </a:lnTo>
                <a:lnTo>
                  <a:pt x="781" y="0"/>
                </a:lnTo>
                <a:lnTo>
                  <a:pt x="818" y="0"/>
                </a:lnTo>
                <a:lnTo>
                  <a:pt x="843" y="0"/>
                </a:lnTo>
                <a:lnTo>
                  <a:pt x="854" y="0"/>
                </a:lnTo>
                <a:lnTo>
                  <a:pt x="840" y="34"/>
                </a:lnTo>
                <a:lnTo>
                  <a:pt x="808" y="124"/>
                </a:lnTo>
                <a:lnTo>
                  <a:pt x="761" y="251"/>
                </a:lnTo>
                <a:lnTo>
                  <a:pt x="707" y="398"/>
                </a:lnTo>
                <a:lnTo>
                  <a:pt x="653" y="544"/>
                </a:lnTo>
                <a:lnTo>
                  <a:pt x="606" y="672"/>
                </a:lnTo>
                <a:lnTo>
                  <a:pt x="574" y="762"/>
                </a:lnTo>
                <a:lnTo>
                  <a:pt x="562" y="797"/>
                </a:lnTo>
                <a:lnTo>
                  <a:pt x="559" y="802"/>
                </a:lnTo>
                <a:lnTo>
                  <a:pt x="552" y="820"/>
                </a:lnTo>
                <a:lnTo>
                  <a:pt x="544" y="842"/>
                </a:lnTo>
                <a:lnTo>
                  <a:pt x="535" y="869"/>
                </a:lnTo>
                <a:lnTo>
                  <a:pt x="525" y="896"/>
                </a:lnTo>
                <a:lnTo>
                  <a:pt x="517" y="919"/>
                </a:lnTo>
                <a:lnTo>
                  <a:pt x="510" y="936"/>
                </a:lnTo>
                <a:lnTo>
                  <a:pt x="509" y="943"/>
                </a:lnTo>
                <a:lnTo>
                  <a:pt x="501" y="961"/>
                </a:lnTo>
                <a:lnTo>
                  <a:pt x="493" y="977"/>
                </a:lnTo>
                <a:lnTo>
                  <a:pt x="486" y="992"/>
                </a:lnTo>
                <a:lnTo>
                  <a:pt x="480" y="1006"/>
                </a:lnTo>
                <a:lnTo>
                  <a:pt x="473" y="1020"/>
                </a:lnTo>
                <a:lnTo>
                  <a:pt x="465" y="1032"/>
                </a:lnTo>
                <a:lnTo>
                  <a:pt x="458" y="1043"/>
                </a:lnTo>
                <a:lnTo>
                  <a:pt x="453" y="1053"/>
                </a:lnTo>
                <a:lnTo>
                  <a:pt x="446" y="1061"/>
                </a:lnTo>
                <a:lnTo>
                  <a:pt x="439" y="1071"/>
                </a:lnTo>
                <a:lnTo>
                  <a:pt x="431" y="1080"/>
                </a:lnTo>
                <a:lnTo>
                  <a:pt x="424" y="1088"/>
                </a:lnTo>
                <a:lnTo>
                  <a:pt x="416" y="1095"/>
                </a:lnTo>
                <a:lnTo>
                  <a:pt x="409" y="1103"/>
                </a:lnTo>
                <a:lnTo>
                  <a:pt x="401" y="1110"/>
                </a:lnTo>
                <a:lnTo>
                  <a:pt x="393" y="1117"/>
                </a:lnTo>
                <a:lnTo>
                  <a:pt x="384" y="1121"/>
                </a:lnTo>
                <a:lnTo>
                  <a:pt x="374" y="1126"/>
                </a:lnTo>
                <a:lnTo>
                  <a:pt x="364" y="1131"/>
                </a:lnTo>
                <a:lnTo>
                  <a:pt x="354" y="1135"/>
                </a:lnTo>
                <a:lnTo>
                  <a:pt x="344" y="1141"/>
                </a:lnTo>
                <a:lnTo>
                  <a:pt x="331" y="1145"/>
                </a:lnTo>
                <a:lnTo>
                  <a:pt x="321" y="1149"/>
                </a:lnTo>
                <a:lnTo>
                  <a:pt x="308" y="1153"/>
                </a:lnTo>
                <a:lnTo>
                  <a:pt x="295" y="1156"/>
                </a:lnTo>
                <a:lnTo>
                  <a:pt x="282" y="1158"/>
                </a:lnTo>
                <a:lnTo>
                  <a:pt x="268" y="1160"/>
                </a:lnTo>
                <a:lnTo>
                  <a:pt x="255" y="1162"/>
                </a:lnTo>
                <a:lnTo>
                  <a:pt x="241" y="1164"/>
                </a:lnTo>
                <a:lnTo>
                  <a:pt x="226" y="1165"/>
                </a:lnTo>
                <a:lnTo>
                  <a:pt x="212" y="1165"/>
                </a:lnTo>
                <a:lnTo>
                  <a:pt x="197" y="1166"/>
                </a:lnTo>
                <a:lnTo>
                  <a:pt x="181" y="1165"/>
                </a:lnTo>
                <a:lnTo>
                  <a:pt x="164" y="1165"/>
                </a:lnTo>
                <a:lnTo>
                  <a:pt x="148" y="1164"/>
                </a:lnTo>
                <a:lnTo>
                  <a:pt x="132" y="1162"/>
                </a:lnTo>
                <a:lnTo>
                  <a:pt x="117" y="1160"/>
                </a:lnTo>
                <a:lnTo>
                  <a:pt x="101" y="1158"/>
                </a:lnTo>
                <a:lnTo>
                  <a:pt x="86" y="1156"/>
                </a:lnTo>
                <a:lnTo>
                  <a:pt x="71" y="1153"/>
                </a:lnTo>
                <a:lnTo>
                  <a:pt x="70" y="1145"/>
                </a:lnTo>
                <a:lnTo>
                  <a:pt x="67" y="1126"/>
                </a:lnTo>
                <a:lnTo>
                  <a:pt x="65" y="1098"/>
                </a:lnTo>
                <a:lnTo>
                  <a:pt x="62" y="1067"/>
                </a:lnTo>
                <a:lnTo>
                  <a:pt x="58" y="1036"/>
                </a:lnTo>
                <a:lnTo>
                  <a:pt x="55" y="1008"/>
                </a:lnTo>
                <a:lnTo>
                  <a:pt x="53" y="989"/>
                </a:lnTo>
                <a:lnTo>
                  <a:pt x="53" y="982"/>
                </a:lnTo>
                <a:lnTo>
                  <a:pt x="65" y="984"/>
                </a:lnTo>
                <a:lnTo>
                  <a:pt x="77" y="986"/>
                </a:lnTo>
                <a:lnTo>
                  <a:pt x="89" y="988"/>
                </a:lnTo>
                <a:lnTo>
                  <a:pt x="101" y="989"/>
                </a:lnTo>
                <a:lnTo>
                  <a:pt x="113" y="990"/>
                </a:lnTo>
                <a:lnTo>
                  <a:pt x="124" y="990"/>
                </a:lnTo>
                <a:lnTo>
                  <a:pt x="135" y="990"/>
                </a:lnTo>
                <a:lnTo>
                  <a:pt x="146" y="992"/>
                </a:lnTo>
                <a:lnTo>
                  <a:pt x="163" y="990"/>
                </a:lnTo>
                <a:lnTo>
                  <a:pt x="181" y="988"/>
                </a:lnTo>
                <a:lnTo>
                  <a:pt x="197" y="985"/>
                </a:lnTo>
                <a:lnTo>
                  <a:pt x="212" y="979"/>
                </a:lnTo>
                <a:lnTo>
                  <a:pt x="225" y="974"/>
                </a:lnTo>
                <a:lnTo>
                  <a:pt x="238" y="966"/>
                </a:lnTo>
                <a:lnTo>
                  <a:pt x="249" y="957"/>
                </a:lnTo>
                <a:lnTo>
                  <a:pt x="259" y="947"/>
                </a:lnTo>
                <a:lnTo>
                  <a:pt x="267" y="935"/>
                </a:lnTo>
                <a:lnTo>
                  <a:pt x="276" y="922"/>
                </a:lnTo>
                <a:lnTo>
                  <a:pt x="284" y="908"/>
                </a:lnTo>
                <a:lnTo>
                  <a:pt x="291" y="895"/>
                </a:lnTo>
                <a:lnTo>
                  <a:pt x="298" y="880"/>
                </a:lnTo>
                <a:lnTo>
                  <a:pt x="304" y="864"/>
                </a:lnTo>
                <a:lnTo>
                  <a:pt x="310" y="848"/>
                </a:lnTo>
                <a:lnTo>
                  <a:pt x="317" y="832"/>
                </a:lnTo>
                <a:lnTo>
                  <a:pt x="302" y="795"/>
                </a:lnTo>
                <a:lnTo>
                  <a:pt x="267" y="701"/>
                </a:lnTo>
                <a:lnTo>
                  <a:pt x="216" y="568"/>
                </a:lnTo>
                <a:lnTo>
                  <a:pt x="158" y="415"/>
                </a:lnTo>
                <a:lnTo>
                  <a:pt x="100" y="262"/>
                </a:lnTo>
                <a:lnTo>
                  <a:pt x="49" y="129"/>
                </a:lnTo>
                <a:lnTo>
                  <a:pt x="14" y="35"/>
                </a:lnTo>
                <a:lnTo>
                  <a:pt x="0" y="0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69" name="Freeform 197">
            <a:extLst>
              <a:ext uri="{FF2B5EF4-FFF2-40B4-BE49-F238E27FC236}">
                <a16:creationId xmlns:a16="http://schemas.microsoft.com/office/drawing/2014/main" id="{00000000-0008-0000-0000-0000C50C0000}"/>
              </a:ext>
            </a:extLst>
          </xdr:cNvPr>
          <xdr:cNvSpPr>
            <a:spLocks/>
          </xdr:cNvSpPr>
        </xdr:nvSpPr>
        <xdr:spPr bwMode="auto">
          <a:xfrm>
            <a:off x="2079" y="14335"/>
            <a:ext cx="379" cy="424"/>
          </a:xfrm>
          <a:custGeom>
            <a:avLst/>
            <a:gdLst/>
            <a:ahLst/>
            <a:cxnLst>
              <a:cxn ang="0">
                <a:pos x="758" y="847"/>
              </a:cxn>
              <a:cxn ang="0">
                <a:pos x="540" y="847"/>
              </a:cxn>
              <a:cxn ang="0">
                <a:pos x="538" y="365"/>
              </a:cxn>
              <a:cxn ang="0">
                <a:pos x="532" y="277"/>
              </a:cxn>
              <a:cxn ang="0">
                <a:pos x="517" y="233"/>
              </a:cxn>
              <a:cxn ang="0">
                <a:pos x="494" y="203"/>
              </a:cxn>
              <a:cxn ang="0">
                <a:pos x="444" y="174"/>
              </a:cxn>
              <a:cxn ang="0">
                <a:pos x="401" y="168"/>
              </a:cxn>
              <a:cxn ang="0">
                <a:pos x="347" y="177"/>
              </a:cxn>
              <a:cxn ang="0">
                <a:pos x="299" y="201"/>
              </a:cxn>
              <a:cxn ang="0">
                <a:pos x="261" y="236"/>
              </a:cxn>
              <a:cxn ang="0">
                <a:pos x="246" y="257"/>
              </a:cxn>
              <a:cxn ang="0">
                <a:pos x="230" y="314"/>
              </a:cxn>
              <a:cxn ang="0">
                <a:pos x="220" y="409"/>
              </a:cxn>
              <a:cxn ang="0">
                <a:pos x="219" y="847"/>
              </a:cxn>
              <a:cxn ang="0">
                <a:pos x="0" y="847"/>
              </a:cxn>
              <a:cxn ang="0">
                <a:pos x="0" y="18"/>
              </a:cxn>
              <a:cxn ang="0">
                <a:pos x="203" y="18"/>
              </a:cxn>
              <a:cxn ang="0">
                <a:pos x="203" y="140"/>
              </a:cxn>
              <a:cxn ang="0">
                <a:pos x="261" y="80"/>
              </a:cxn>
              <a:cxn ang="0">
                <a:pos x="327" y="35"/>
              </a:cxn>
              <a:cxn ang="0">
                <a:pos x="398" y="10"/>
              </a:cxn>
              <a:cxn ang="0">
                <a:pos x="478" y="0"/>
              </a:cxn>
              <a:cxn ang="0">
                <a:pos x="548" y="7"/>
              </a:cxn>
              <a:cxn ang="0">
                <a:pos x="611" y="26"/>
              </a:cxn>
              <a:cxn ang="0">
                <a:pos x="664" y="56"/>
              </a:cxn>
              <a:cxn ang="0">
                <a:pos x="703" y="93"/>
              </a:cxn>
              <a:cxn ang="0">
                <a:pos x="739" y="160"/>
              </a:cxn>
              <a:cxn ang="0">
                <a:pos x="755" y="248"/>
              </a:cxn>
              <a:cxn ang="0">
                <a:pos x="758" y="332"/>
              </a:cxn>
              <a:cxn ang="0">
                <a:pos x="758" y="847"/>
              </a:cxn>
            </a:cxnLst>
            <a:rect l="0" t="0" r="r" b="b"/>
            <a:pathLst>
              <a:path w="758" h="847">
                <a:moveTo>
                  <a:pt x="758" y="847"/>
                </a:moveTo>
                <a:lnTo>
                  <a:pt x="540" y="847"/>
                </a:lnTo>
                <a:lnTo>
                  <a:pt x="538" y="365"/>
                </a:lnTo>
                <a:lnTo>
                  <a:pt x="532" y="277"/>
                </a:lnTo>
                <a:lnTo>
                  <a:pt x="517" y="233"/>
                </a:lnTo>
                <a:lnTo>
                  <a:pt x="494" y="203"/>
                </a:lnTo>
                <a:lnTo>
                  <a:pt x="444" y="174"/>
                </a:lnTo>
                <a:lnTo>
                  <a:pt x="401" y="168"/>
                </a:lnTo>
                <a:lnTo>
                  <a:pt x="347" y="177"/>
                </a:lnTo>
                <a:lnTo>
                  <a:pt x="299" y="201"/>
                </a:lnTo>
                <a:lnTo>
                  <a:pt x="261" y="236"/>
                </a:lnTo>
                <a:lnTo>
                  <a:pt x="246" y="257"/>
                </a:lnTo>
                <a:lnTo>
                  <a:pt x="230" y="314"/>
                </a:lnTo>
                <a:lnTo>
                  <a:pt x="220" y="409"/>
                </a:lnTo>
                <a:lnTo>
                  <a:pt x="219" y="847"/>
                </a:lnTo>
                <a:lnTo>
                  <a:pt x="0" y="847"/>
                </a:lnTo>
                <a:lnTo>
                  <a:pt x="0" y="18"/>
                </a:lnTo>
                <a:lnTo>
                  <a:pt x="203" y="18"/>
                </a:lnTo>
                <a:lnTo>
                  <a:pt x="203" y="140"/>
                </a:lnTo>
                <a:lnTo>
                  <a:pt x="261" y="80"/>
                </a:lnTo>
                <a:lnTo>
                  <a:pt x="327" y="35"/>
                </a:lnTo>
                <a:lnTo>
                  <a:pt x="398" y="10"/>
                </a:lnTo>
                <a:lnTo>
                  <a:pt x="478" y="0"/>
                </a:lnTo>
                <a:lnTo>
                  <a:pt x="548" y="7"/>
                </a:lnTo>
                <a:lnTo>
                  <a:pt x="611" y="26"/>
                </a:lnTo>
                <a:lnTo>
                  <a:pt x="664" y="56"/>
                </a:lnTo>
                <a:lnTo>
                  <a:pt x="703" y="93"/>
                </a:lnTo>
                <a:lnTo>
                  <a:pt x="739" y="160"/>
                </a:lnTo>
                <a:lnTo>
                  <a:pt x="755" y="248"/>
                </a:lnTo>
                <a:lnTo>
                  <a:pt x="758" y="332"/>
                </a:lnTo>
                <a:lnTo>
                  <a:pt x="758" y="847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0" name="Freeform 198">
            <a:extLst>
              <a:ext uri="{FF2B5EF4-FFF2-40B4-BE49-F238E27FC236}">
                <a16:creationId xmlns:a16="http://schemas.microsoft.com/office/drawing/2014/main" id="{00000000-0008-0000-0000-0000C60C0000}"/>
              </a:ext>
            </a:extLst>
          </xdr:cNvPr>
          <xdr:cNvSpPr>
            <a:spLocks noEditPoints="1"/>
          </xdr:cNvSpPr>
        </xdr:nvSpPr>
        <xdr:spPr bwMode="auto">
          <a:xfrm>
            <a:off x="2542" y="14335"/>
            <a:ext cx="427" cy="435"/>
          </a:xfrm>
          <a:custGeom>
            <a:avLst/>
            <a:gdLst/>
            <a:ahLst/>
            <a:cxnLst>
              <a:cxn ang="0">
                <a:pos x="2" y="367"/>
              </a:cxn>
              <a:cxn ang="0">
                <a:pos x="20" y="288"/>
              </a:cxn>
              <a:cxn ang="0">
                <a:pos x="54" y="211"/>
              </a:cxn>
              <a:cxn ang="0">
                <a:pos x="99" y="140"/>
              </a:cxn>
              <a:cxn ang="0">
                <a:pos x="159" y="84"/>
              </a:cxn>
              <a:cxn ang="0">
                <a:pos x="230" y="42"/>
              </a:cxn>
              <a:cxn ang="0">
                <a:pos x="309" y="14"/>
              </a:cxn>
              <a:cxn ang="0">
                <a:pos x="396" y="0"/>
              </a:cxn>
              <a:cxn ang="0">
                <a:pos x="516" y="7"/>
              </a:cxn>
              <a:cxn ang="0">
                <a:pos x="634" y="49"/>
              </a:cxn>
              <a:cxn ang="0">
                <a:pos x="735" y="124"/>
              </a:cxn>
              <a:cxn ang="0">
                <a:pos x="808" y="224"/>
              </a:cxn>
              <a:cxn ang="0">
                <a:pos x="847" y="342"/>
              </a:cxn>
              <a:cxn ang="0">
                <a:pos x="852" y="477"/>
              </a:cxn>
              <a:cxn ang="0">
                <a:pos x="824" y="604"/>
              </a:cxn>
              <a:cxn ang="0">
                <a:pos x="762" y="711"/>
              </a:cxn>
              <a:cxn ang="0">
                <a:pos x="668" y="797"/>
              </a:cxn>
              <a:cxn ang="0">
                <a:pos x="556" y="851"/>
              </a:cxn>
              <a:cxn ang="0">
                <a:pos x="428" y="870"/>
              </a:cxn>
              <a:cxn ang="0">
                <a:pos x="343" y="862"/>
              </a:cxn>
              <a:cxn ang="0">
                <a:pos x="262" y="839"/>
              </a:cxn>
              <a:cxn ang="0">
                <a:pos x="186" y="801"/>
              </a:cxn>
              <a:cxn ang="0">
                <a:pos x="118" y="752"/>
              </a:cxn>
              <a:cxn ang="0">
                <a:pos x="67" y="688"/>
              </a:cxn>
              <a:cxn ang="0">
                <a:pos x="29" y="612"/>
              </a:cxn>
              <a:cxn ang="0">
                <a:pos x="6" y="523"/>
              </a:cxn>
              <a:cxn ang="0">
                <a:pos x="0" y="422"/>
              </a:cxn>
              <a:cxn ang="0">
                <a:pos x="227" y="491"/>
              </a:cxn>
              <a:cxn ang="0">
                <a:pos x="246" y="565"/>
              </a:cxn>
              <a:cxn ang="0">
                <a:pos x="284" y="624"/>
              </a:cxn>
              <a:cxn ang="0">
                <a:pos x="331" y="663"/>
              </a:cxn>
              <a:cxn ang="0">
                <a:pos x="386" y="684"/>
              </a:cxn>
              <a:cxn ang="0">
                <a:pos x="448" y="687"/>
              </a:cxn>
              <a:cxn ang="0">
                <a:pos x="506" y="672"/>
              </a:cxn>
              <a:cxn ang="0">
                <a:pos x="556" y="639"/>
              </a:cxn>
              <a:cxn ang="0">
                <a:pos x="596" y="586"/>
              </a:cxn>
              <a:cxn ang="0">
                <a:pos x="621" y="518"/>
              </a:cxn>
              <a:cxn ang="0">
                <a:pos x="630" y="433"/>
              </a:cxn>
              <a:cxn ang="0">
                <a:pos x="621" y="350"/>
              </a:cxn>
              <a:cxn ang="0">
                <a:pos x="596" y="281"/>
              </a:cxn>
              <a:cxn ang="0">
                <a:pos x="556" y="229"/>
              </a:cxn>
              <a:cxn ang="0">
                <a:pos x="506" y="195"/>
              </a:cxn>
              <a:cxn ang="0">
                <a:pos x="448" y="179"/>
              </a:cxn>
              <a:cxn ang="0">
                <a:pos x="386" y="183"/>
              </a:cxn>
              <a:cxn ang="0">
                <a:pos x="331" y="205"/>
              </a:cxn>
              <a:cxn ang="0">
                <a:pos x="284" y="245"/>
              </a:cxn>
              <a:cxn ang="0">
                <a:pos x="246" y="301"/>
              </a:cxn>
              <a:cxn ang="0">
                <a:pos x="227" y="375"/>
              </a:cxn>
            </a:cxnLst>
            <a:rect l="0" t="0" r="r" b="b"/>
            <a:pathLst>
              <a:path w="855" h="870">
                <a:moveTo>
                  <a:pt x="0" y="422"/>
                </a:moveTo>
                <a:lnTo>
                  <a:pt x="0" y="394"/>
                </a:lnTo>
                <a:lnTo>
                  <a:pt x="2" y="367"/>
                </a:lnTo>
                <a:lnTo>
                  <a:pt x="6" y="340"/>
                </a:lnTo>
                <a:lnTo>
                  <a:pt x="12" y="314"/>
                </a:lnTo>
                <a:lnTo>
                  <a:pt x="20" y="288"/>
                </a:lnTo>
                <a:lnTo>
                  <a:pt x="29" y="261"/>
                </a:lnTo>
                <a:lnTo>
                  <a:pt x="40" y="236"/>
                </a:lnTo>
                <a:lnTo>
                  <a:pt x="54" y="211"/>
                </a:lnTo>
                <a:lnTo>
                  <a:pt x="67" y="186"/>
                </a:lnTo>
                <a:lnTo>
                  <a:pt x="82" y="163"/>
                </a:lnTo>
                <a:lnTo>
                  <a:pt x="99" y="140"/>
                </a:lnTo>
                <a:lnTo>
                  <a:pt x="117" y="120"/>
                </a:lnTo>
                <a:lnTo>
                  <a:pt x="137" y="101"/>
                </a:lnTo>
                <a:lnTo>
                  <a:pt x="159" y="84"/>
                </a:lnTo>
                <a:lnTo>
                  <a:pt x="182" y="69"/>
                </a:lnTo>
                <a:lnTo>
                  <a:pt x="206" y="56"/>
                </a:lnTo>
                <a:lnTo>
                  <a:pt x="230" y="42"/>
                </a:lnTo>
                <a:lnTo>
                  <a:pt x="256" y="30"/>
                </a:lnTo>
                <a:lnTo>
                  <a:pt x="283" y="21"/>
                </a:lnTo>
                <a:lnTo>
                  <a:pt x="309" y="14"/>
                </a:lnTo>
                <a:lnTo>
                  <a:pt x="338" y="7"/>
                </a:lnTo>
                <a:lnTo>
                  <a:pt x="366" y="3"/>
                </a:lnTo>
                <a:lnTo>
                  <a:pt x="396" y="0"/>
                </a:lnTo>
                <a:lnTo>
                  <a:pt x="427" y="0"/>
                </a:lnTo>
                <a:lnTo>
                  <a:pt x="471" y="2"/>
                </a:lnTo>
                <a:lnTo>
                  <a:pt x="516" y="7"/>
                </a:lnTo>
                <a:lnTo>
                  <a:pt x="557" y="18"/>
                </a:lnTo>
                <a:lnTo>
                  <a:pt x="596" y="31"/>
                </a:lnTo>
                <a:lnTo>
                  <a:pt x="634" y="49"/>
                </a:lnTo>
                <a:lnTo>
                  <a:pt x="670" y="69"/>
                </a:lnTo>
                <a:lnTo>
                  <a:pt x="703" y="95"/>
                </a:lnTo>
                <a:lnTo>
                  <a:pt x="735" y="124"/>
                </a:lnTo>
                <a:lnTo>
                  <a:pt x="763" y="155"/>
                </a:lnTo>
                <a:lnTo>
                  <a:pt x="788" y="189"/>
                </a:lnTo>
                <a:lnTo>
                  <a:pt x="808" y="224"/>
                </a:lnTo>
                <a:lnTo>
                  <a:pt x="825" y="261"/>
                </a:lnTo>
                <a:lnTo>
                  <a:pt x="837" y="300"/>
                </a:lnTo>
                <a:lnTo>
                  <a:pt x="847" y="342"/>
                </a:lnTo>
                <a:lnTo>
                  <a:pt x="852" y="385"/>
                </a:lnTo>
                <a:lnTo>
                  <a:pt x="855" y="432"/>
                </a:lnTo>
                <a:lnTo>
                  <a:pt x="852" y="477"/>
                </a:lnTo>
                <a:lnTo>
                  <a:pt x="847" y="522"/>
                </a:lnTo>
                <a:lnTo>
                  <a:pt x="837" y="563"/>
                </a:lnTo>
                <a:lnTo>
                  <a:pt x="824" y="604"/>
                </a:lnTo>
                <a:lnTo>
                  <a:pt x="808" y="641"/>
                </a:lnTo>
                <a:lnTo>
                  <a:pt x="786" y="678"/>
                </a:lnTo>
                <a:lnTo>
                  <a:pt x="762" y="711"/>
                </a:lnTo>
                <a:lnTo>
                  <a:pt x="734" y="744"/>
                </a:lnTo>
                <a:lnTo>
                  <a:pt x="701" y="772"/>
                </a:lnTo>
                <a:lnTo>
                  <a:pt x="668" y="797"/>
                </a:lnTo>
                <a:lnTo>
                  <a:pt x="633" y="819"/>
                </a:lnTo>
                <a:lnTo>
                  <a:pt x="595" y="838"/>
                </a:lnTo>
                <a:lnTo>
                  <a:pt x="556" y="851"/>
                </a:lnTo>
                <a:lnTo>
                  <a:pt x="516" y="862"/>
                </a:lnTo>
                <a:lnTo>
                  <a:pt x="472" y="867"/>
                </a:lnTo>
                <a:lnTo>
                  <a:pt x="428" y="870"/>
                </a:lnTo>
                <a:lnTo>
                  <a:pt x="398" y="868"/>
                </a:lnTo>
                <a:lnTo>
                  <a:pt x="370" y="866"/>
                </a:lnTo>
                <a:lnTo>
                  <a:pt x="343" y="862"/>
                </a:lnTo>
                <a:lnTo>
                  <a:pt x="316" y="855"/>
                </a:lnTo>
                <a:lnTo>
                  <a:pt x="289" y="848"/>
                </a:lnTo>
                <a:lnTo>
                  <a:pt x="262" y="839"/>
                </a:lnTo>
                <a:lnTo>
                  <a:pt x="237" y="828"/>
                </a:lnTo>
                <a:lnTo>
                  <a:pt x="211" y="816"/>
                </a:lnTo>
                <a:lnTo>
                  <a:pt x="186" y="801"/>
                </a:lnTo>
                <a:lnTo>
                  <a:pt x="161" y="787"/>
                </a:lnTo>
                <a:lnTo>
                  <a:pt x="138" y="770"/>
                </a:lnTo>
                <a:lnTo>
                  <a:pt x="118" y="752"/>
                </a:lnTo>
                <a:lnTo>
                  <a:pt x="99" y="731"/>
                </a:lnTo>
                <a:lnTo>
                  <a:pt x="82" y="711"/>
                </a:lnTo>
                <a:lnTo>
                  <a:pt x="67" y="688"/>
                </a:lnTo>
                <a:lnTo>
                  <a:pt x="54" y="664"/>
                </a:lnTo>
                <a:lnTo>
                  <a:pt x="40" y="639"/>
                </a:lnTo>
                <a:lnTo>
                  <a:pt x="29" y="612"/>
                </a:lnTo>
                <a:lnTo>
                  <a:pt x="20" y="584"/>
                </a:lnTo>
                <a:lnTo>
                  <a:pt x="12" y="554"/>
                </a:lnTo>
                <a:lnTo>
                  <a:pt x="6" y="523"/>
                </a:lnTo>
                <a:lnTo>
                  <a:pt x="2" y="491"/>
                </a:lnTo>
                <a:lnTo>
                  <a:pt x="0" y="457"/>
                </a:lnTo>
                <a:lnTo>
                  <a:pt x="0" y="422"/>
                </a:lnTo>
                <a:close/>
                <a:moveTo>
                  <a:pt x="225" y="433"/>
                </a:moveTo>
                <a:lnTo>
                  <a:pt x="225" y="463"/>
                </a:lnTo>
                <a:lnTo>
                  <a:pt x="227" y="491"/>
                </a:lnTo>
                <a:lnTo>
                  <a:pt x="233" y="518"/>
                </a:lnTo>
                <a:lnTo>
                  <a:pt x="238" y="542"/>
                </a:lnTo>
                <a:lnTo>
                  <a:pt x="246" y="565"/>
                </a:lnTo>
                <a:lnTo>
                  <a:pt x="257" y="586"/>
                </a:lnTo>
                <a:lnTo>
                  <a:pt x="269" y="605"/>
                </a:lnTo>
                <a:lnTo>
                  <a:pt x="284" y="624"/>
                </a:lnTo>
                <a:lnTo>
                  <a:pt x="299" y="639"/>
                </a:lnTo>
                <a:lnTo>
                  <a:pt x="314" y="652"/>
                </a:lnTo>
                <a:lnTo>
                  <a:pt x="331" y="663"/>
                </a:lnTo>
                <a:lnTo>
                  <a:pt x="349" y="672"/>
                </a:lnTo>
                <a:lnTo>
                  <a:pt x="366" y="679"/>
                </a:lnTo>
                <a:lnTo>
                  <a:pt x="386" y="684"/>
                </a:lnTo>
                <a:lnTo>
                  <a:pt x="406" y="687"/>
                </a:lnTo>
                <a:lnTo>
                  <a:pt x="428" y="688"/>
                </a:lnTo>
                <a:lnTo>
                  <a:pt x="448" y="687"/>
                </a:lnTo>
                <a:lnTo>
                  <a:pt x="468" y="684"/>
                </a:lnTo>
                <a:lnTo>
                  <a:pt x="487" y="679"/>
                </a:lnTo>
                <a:lnTo>
                  <a:pt x="506" y="672"/>
                </a:lnTo>
                <a:lnTo>
                  <a:pt x="524" y="663"/>
                </a:lnTo>
                <a:lnTo>
                  <a:pt x="540" y="652"/>
                </a:lnTo>
                <a:lnTo>
                  <a:pt x="556" y="639"/>
                </a:lnTo>
                <a:lnTo>
                  <a:pt x="572" y="624"/>
                </a:lnTo>
                <a:lnTo>
                  <a:pt x="584" y="605"/>
                </a:lnTo>
                <a:lnTo>
                  <a:pt x="596" y="586"/>
                </a:lnTo>
                <a:lnTo>
                  <a:pt x="606" y="565"/>
                </a:lnTo>
                <a:lnTo>
                  <a:pt x="615" y="542"/>
                </a:lnTo>
                <a:lnTo>
                  <a:pt x="621" y="518"/>
                </a:lnTo>
                <a:lnTo>
                  <a:pt x="626" y="491"/>
                </a:lnTo>
                <a:lnTo>
                  <a:pt x="629" y="463"/>
                </a:lnTo>
                <a:lnTo>
                  <a:pt x="630" y="433"/>
                </a:lnTo>
                <a:lnTo>
                  <a:pt x="629" y="404"/>
                </a:lnTo>
                <a:lnTo>
                  <a:pt x="626" y="375"/>
                </a:lnTo>
                <a:lnTo>
                  <a:pt x="621" y="350"/>
                </a:lnTo>
                <a:lnTo>
                  <a:pt x="615" y="324"/>
                </a:lnTo>
                <a:lnTo>
                  <a:pt x="606" y="301"/>
                </a:lnTo>
                <a:lnTo>
                  <a:pt x="596" y="281"/>
                </a:lnTo>
                <a:lnTo>
                  <a:pt x="584" y="263"/>
                </a:lnTo>
                <a:lnTo>
                  <a:pt x="572" y="245"/>
                </a:lnTo>
                <a:lnTo>
                  <a:pt x="556" y="229"/>
                </a:lnTo>
                <a:lnTo>
                  <a:pt x="540" y="215"/>
                </a:lnTo>
                <a:lnTo>
                  <a:pt x="524" y="205"/>
                </a:lnTo>
                <a:lnTo>
                  <a:pt x="506" y="195"/>
                </a:lnTo>
                <a:lnTo>
                  <a:pt x="487" y="189"/>
                </a:lnTo>
                <a:lnTo>
                  <a:pt x="468" y="183"/>
                </a:lnTo>
                <a:lnTo>
                  <a:pt x="448" y="179"/>
                </a:lnTo>
                <a:lnTo>
                  <a:pt x="428" y="179"/>
                </a:lnTo>
                <a:lnTo>
                  <a:pt x="406" y="179"/>
                </a:lnTo>
                <a:lnTo>
                  <a:pt x="386" y="183"/>
                </a:lnTo>
                <a:lnTo>
                  <a:pt x="366" y="189"/>
                </a:lnTo>
                <a:lnTo>
                  <a:pt x="349" y="195"/>
                </a:lnTo>
                <a:lnTo>
                  <a:pt x="331" y="205"/>
                </a:lnTo>
                <a:lnTo>
                  <a:pt x="314" y="215"/>
                </a:lnTo>
                <a:lnTo>
                  <a:pt x="299" y="229"/>
                </a:lnTo>
                <a:lnTo>
                  <a:pt x="284" y="245"/>
                </a:lnTo>
                <a:lnTo>
                  <a:pt x="269" y="263"/>
                </a:lnTo>
                <a:lnTo>
                  <a:pt x="257" y="281"/>
                </a:lnTo>
                <a:lnTo>
                  <a:pt x="246" y="301"/>
                </a:lnTo>
                <a:lnTo>
                  <a:pt x="238" y="324"/>
                </a:lnTo>
                <a:lnTo>
                  <a:pt x="233" y="350"/>
                </a:lnTo>
                <a:lnTo>
                  <a:pt x="227" y="375"/>
                </a:lnTo>
                <a:lnTo>
                  <a:pt x="225" y="404"/>
                </a:lnTo>
                <a:lnTo>
                  <a:pt x="225" y="43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1" name="Freeform 199">
            <a:extLst>
              <a:ext uri="{FF2B5EF4-FFF2-40B4-BE49-F238E27FC236}">
                <a16:creationId xmlns:a16="http://schemas.microsoft.com/office/drawing/2014/main" id="{00000000-0008-0000-0000-0000C70C0000}"/>
              </a:ext>
            </a:extLst>
          </xdr:cNvPr>
          <xdr:cNvSpPr>
            <a:spLocks/>
          </xdr:cNvSpPr>
        </xdr:nvSpPr>
        <xdr:spPr bwMode="auto">
          <a:xfrm>
            <a:off x="3276" y="14187"/>
            <a:ext cx="454" cy="572"/>
          </a:xfrm>
          <a:custGeom>
            <a:avLst/>
            <a:gdLst/>
            <a:ahLst/>
            <a:cxnLst>
              <a:cxn ang="0">
                <a:pos x="0" y="1093"/>
              </a:cxn>
              <a:cxn ang="0">
                <a:pos x="0" y="780"/>
              </a:cxn>
              <a:cxn ang="0">
                <a:pos x="0" y="361"/>
              </a:cxn>
              <a:cxn ang="0">
                <a:pos x="0" y="48"/>
              </a:cxn>
              <a:cxn ang="0">
                <a:pos x="9" y="0"/>
              </a:cxn>
              <a:cxn ang="0">
                <a:pos x="70" y="0"/>
              </a:cxn>
              <a:cxn ang="0">
                <a:pos x="152" y="0"/>
              </a:cxn>
              <a:cxn ang="0">
                <a:pos x="212" y="0"/>
              </a:cxn>
              <a:cxn ang="0">
                <a:pos x="243" y="32"/>
              </a:cxn>
              <a:cxn ang="0">
                <a:pos x="373" y="241"/>
              </a:cxn>
              <a:cxn ang="0">
                <a:pos x="545" y="524"/>
              </a:cxn>
              <a:cxn ang="0">
                <a:pos x="674" y="733"/>
              </a:cxn>
              <a:cxn ang="0">
                <a:pos x="696" y="733"/>
              </a:cxn>
              <a:cxn ang="0">
                <a:pos x="696" y="524"/>
              </a:cxn>
              <a:cxn ang="0">
                <a:pos x="696" y="241"/>
              </a:cxn>
              <a:cxn ang="0">
                <a:pos x="696" y="32"/>
              </a:cxn>
              <a:cxn ang="0">
                <a:pos x="704" y="0"/>
              </a:cxn>
              <a:cxn ang="0">
                <a:pos x="762" y="0"/>
              </a:cxn>
              <a:cxn ang="0">
                <a:pos x="841" y="0"/>
              </a:cxn>
              <a:cxn ang="0">
                <a:pos x="899" y="0"/>
              </a:cxn>
              <a:cxn ang="0">
                <a:pos x="909" y="48"/>
              </a:cxn>
              <a:cxn ang="0">
                <a:pos x="909" y="361"/>
              </a:cxn>
              <a:cxn ang="0">
                <a:pos x="909" y="780"/>
              </a:cxn>
              <a:cxn ang="0">
                <a:pos x="909" y="1093"/>
              </a:cxn>
              <a:cxn ang="0">
                <a:pos x="898" y="1143"/>
              </a:cxn>
              <a:cxn ang="0">
                <a:pos x="835" y="1143"/>
              </a:cxn>
              <a:cxn ang="0">
                <a:pos x="751" y="1143"/>
              </a:cxn>
              <a:cxn ang="0">
                <a:pos x="688" y="1143"/>
              </a:cxn>
              <a:cxn ang="0">
                <a:pos x="658" y="1109"/>
              </a:cxn>
              <a:cxn ang="0">
                <a:pos x="530" y="905"/>
              </a:cxn>
              <a:cxn ang="0">
                <a:pos x="361" y="628"/>
              </a:cxn>
              <a:cxn ang="0">
                <a:pos x="233" y="424"/>
              </a:cxn>
              <a:cxn ang="0">
                <a:pos x="214" y="424"/>
              </a:cxn>
              <a:cxn ang="0">
                <a:pos x="214" y="628"/>
              </a:cxn>
              <a:cxn ang="0">
                <a:pos x="214" y="905"/>
              </a:cxn>
              <a:cxn ang="0">
                <a:pos x="214" y="1109"/>
              </a:cxn>
              <a:cxn ang="0">
                <a:pos x="204" y="1143"/>
              </a:cxn>
              <a:cxn ang="0">
                <a:pos x="145" y="1143"/>
              </a:cxn>
              <a:cxn ang="0">
                <a:pos x="67" y="1143"/>
              </a:cxn>
              <a:cxn ang="0">
                <a:pos x="8" y="1143"/>
              </a:cxn>
            </a:cxnLst>
            <a:rect l="0" t="0" r="r" b="b"/>
            <a:pathLst>
              <a:path w="909" h="1143">
                <a:moveTo>
                  <a:pt x="0" y="1143"/>
                </a:moveTo>
                <a:lnTo>
                  <a:pt x="0" y="1093"/>
                </a:lnTo>
                <a:lnTo>
                  <a:pt x="0" y="964"/>
                </a:lnTo>
                <a:lnTo>
                  <a:pt x="0" y="780"/>
                </a:lnTo>
                <a:lnTo>
                  <a:pt x="0" y="571"/>
                </a:lnTo>
                <a:lnTo>
                  <a:pt x="0" y="361"/>
                </a:lnTo>
                <a:lnTo>
                  <a:pt x="0" y="177"/>
                </a:lnTo>
                <a:lnTo>
                  <a:pt x="0" y="48"/>
                </a:lnTo>
                <a:lnTo>
                  <a:pt x="0" y="0"/>
                </a:lnTo>
                <a:lnTo>
                  <a:pt x="9" y="0"/>
                </a:lnTo>
                <a:lnTo>
                  <a:pt x="33" y="0"/>
                </a:lnTo>
                <a:lnTo>
                  <a:pt x="70" y="0"/>
                </a:lnTo>
                <a:lnTo>
                  <a:pt x="111" y="0"/>
                </a:lnTo>
                <a:lnTo>
                  <a:pt x="152" y="0"/>
                </a:lnTo>
                <a:lnTo>
                  <a:pt x="188" y="0"/>
                </a:lnTo>
                <a:lnTo>
                  <a:pt x="212" y="0"/>
                </a:lnTo>
                <a:lnTo>
                  <a:pt x="223" y="0"/>
                </a:lnTo>
                <a:lnTo>
                  <a:pt x="243" y="32"/>
                </a:lnTo>
                <a:lnTo>
                  <a:pt x="296" y="119"/>
                </a:lnTo>
                <a:lnTo>
                  <a:pt x="373" y="241"/>
                </a:lnTo>
                <a:lnTo>
                  <a:pt x="459" y="382"/>
                </a:lnTo>
                <a:lnTo>
                  <a:pt x="545" y="524"/>
                </a:lnTo>
                <a:lnTo>
                  <a:pt x="622" y="646"/>
                </a:lnTo>
                <a:lnTo>
                  <a:pt x="674" y="733"/>
                </a:lnTo>
                <a:lnTo>
                  <a:pt x="696" y="767"/>
                </a:lnTo>
                <a:lnTo>
                  <a:pt x="696" y="733"/>
                </a:lnTo>
                <a:lnTo>
                  <a:pt x="696" y="646"/>
                </a:lnTo>
                <a:lnTo>
                  <a:pt x="696" y="524"/>
                </a:lnTo>
                <a:lnTo>
                  <a:pt x="696" y="382"/>
                </a:lnTo>
                <a:lnTo>
                  <a:pt x="696" y="241"/>
                </a:lnTo>
                <a:lnTo>
                  <a:pt x="696" y="119"/>
                </a:lnTo>
                <a:lnTo>
                  <a:pt x="696" y="32"/>
                </a:lnTo>
                <a:lnTo>
                  <a:pt x="696" y="0"/>
                </a:lnTo>
                <a:lnTo>
                  <a:pt x="704" y="0"/>
                </a:lnTo>
                <a:lnTo>
                  <a:pt x="728" y="0"/>
                </a:lnTo>
                <a:lnTo>
                  <a:pt x="762" y="0"/>
                </a:lnTo>
                <a:lnTo>
                  <a:pt x="802" y="0"/>
                </a:lnTo>
                <a:lnTo>
                  <a:pt x="841" y="0"/>
                </a:lnTo>
                <a:lnTo>
                  <a:pt x="875" y="0"/>
                </a:lnTo>
                <a:lnTo>
                  <a:pt x="899" y="0"/>
                </a:lnTo>
                <a:lnTo>
                  <a:pt x="909" y="0"/>
                </a:lnTo>
                <a:lnTo>
                  <a:pt x="909" y="48"/>
                </a:lnTo>
                <a:lnTo>
                  <a:pt x="909" y="177"/>
                </a:lnTo>
                <a:lnTo>
                  <a:pt x="909" y="361"/>
                </a:lnTo>
                <a:lnTo>
                  <a:pt x="909" y="571"/>
                </a:lnTo>
                <a:lnTo>
                  <a:pt x="909" y="780"/>
                </a:lnTo>
                <a:lnTo>
                  <a:pt x="909" y="964"/>
                </a:lnTo>
                <a:lnTo>
                  <a:pt x="909" y="1093"/>
                </a:lnTo>
                <a:lnTo>
                  <a:pt x="909" y="1143"/>
                </a:lnTo>
                <a:lnTo>
                  <a:pt x="898" y="1143"/>
                </a:lnTo>
                <a:lnTo>
                  <a:pt x="872" y="1143"/>
                </a:lnTo>
                <a:lnTo>
                  <a:pt x="835" y="1143"/>
                </a:lnTo>
                <a:lnTo>
                  <a:pt x="793" y="1143"/>
                </a:lnTo>
                <a:lnTo>
                  <a:pt x="751" y="1143"/>
                </a:lnTo>
                <a:lnTo>
                  <a:pt x="713" y="1143"/>
                </a:lnTo>
                <a:lnTo>
                  <a:pt x="688" y="1143"/>
                </a:lnTo>
                <a:lnTo>
                  <a:pt x="678" y="1143"/>
                </a:lnTo>
                <a:lnTo>
                  <a:pt x="658" y="1109"/>
                </a:lnTo>
                <a:lnTo>
                  <a:pt x="606" y="1025"/>
                </a:lnTo>
                <a:lnTo>
                  <a:pt x="530" y="905"/>
                </a:lnTo>
                <a:lnTo>
                  <a:pt x="445" y="767"/>
                </a:lnTo>
                <a:lnTo>
                  <a:pt x="361" y="628"/>
                </a:lnTo>
                <a:lnTo>
                  <a:pt x="285" y="509"/>
                </a:lnTo>
                <a:lnTo>
                  <a:pt x="233" y="424"/>
                </a:lnTo>
                <a:lnTo>
                  <a:pt x="214" y="392"/>
                </a:lnTo>
                <a:lnTo>
                  <a:pt x="214" y="424"/>
                </a:lnTo>
                <a:lnTo>
                  <a:pt x="214" y="509"/>
                </a:lnTo>
                <a:lnTo>
                  <a:pt x="214" y="628"/>
                </a:lnTo>
                <a:lnTo>
                  <a:pt x="214" y="767"/>
                </a:lnTo>
                <a:lnTo>
                  <a:pt x="214" y="905"/>
                </a:lnTo>
                <a:lnTo>
                  <a:pt x="214" y="1025"/>
                </a:lnTo>
                <a:lnTo>
                  <a:pt x="214" y="1109"/>
                </a:lnTo>
                <a:lnTo>
                  <a:pt x="214" y="1143"/>
                </a:lnTo>
                <a:lnTo>
                  <a:pt x="204" y="1143"/>
                </a:lnTo>
                <a:lnTo>
                  <a:pt x="180" y="1143"/>
                </a:lnTo>
                <a:lnTo>
                  <a:pt x="145" y="1143"/>
                </a:lnTo>
                <a:lnTo>
                  <a:pt x="106" y="1143"/>
                </a:lnTo>
                <a:lnTo>
                  <a:pt x="67" y="1143"/>
                </a:lnTo>
                <a:lnTo>
                  <a:pt x="32" y="1143"/>
                </a:lnTo>
                <a:lnTo>
                  <a:pt x="8" y="1143"/>
                </a:lnTo>
                <a:lnTo>
                  <a:pt x="0" y="114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2" name="Freeform 200">
            <a:extLst>
              <a:ext uri="{FF2B5EF4-FFF2-40B4-BE49-F238E27FC236}">
                <a16:creationId xmlns:a16="http://schemas.microsoft.com/office/drawing/2014/main" id="{00000000-0008-0000-0000-0000C80C0000}"/>
              </a:ext>
            </a:extLst>
          </xdr:cNvPr>
          <xdr:cNvSpPr>
            <a:spLocks noEditPoints="1"/>
          </xdr:cNvSpPr>
        </xdr:nvSpPr>
        <xdr:spPr bwMode="auto">
          <a:xfrm>
            <a:off x="3835" y="14335"/>
            <a:ext cx="428" cy="435"/>
          </a:xfrm>
          <a:custGeom>
            <a:avLst/>
            <a:gdLst/>
            <a:ahLst/>
            <a:cxnLst>
              <a:cxn ang="0">
                <a:pos x="3" y="367"/>
              </a:cxn>
              <a:cxn ang="0">
                <a:pos x="21" y="288"/>
              </a:cxn>
              <a:cxn ang="0">
                <a:pos x="56" y="211"/>
              </a:cxn>
              <a:cxn ang="0">
                <a:pos x="101" y="140"/>
              </a:cxn>
              <a:cxn ang="0">
                <a:pos x="159" y="84"/>
              </a:cxn>
              <a:cxn ang="0">
                <a:pos x="231" y="42"/>
              </a:cxn>
              <a:cxn ang="0">
                <a:pos x="310" y="14"/>
              </a:cxn>
              <a:cxn ang="0">
                <a:pos x="396" y="0"/>
              </a:cxn>
              <a:cxn ang="0">
                <a:pos x="516" y="7"/>
              </a:cxn>
              <a:cxn ang="0">
                <a:pos x="636" y="49"/>
              </a:cxn>
              <a:cxn ang="0">
                <a:pos x="737" y="124"/>
              </a:cxn>
              <a:cxn ang="0">
                <a:pos x="810" y="224"/>
              </a:cxn>
              <a:cxn ang="0">
                <a:pos x="849" y="342"/>
              </a:cxn>
              <a:cxn ang="0">
                <a:pos x="854" y="477"/>
              </a:cxn>
              <a:cxn ang="0">
                <a:pos x="826" y="604"/>
              </a:cxn>
              <a:cxn ang="0">
                <a:pos x="763" y="711"/>
              </a:cxn>
              <a:cxn ang="0">
                <a:pos x="670" y="797"/>
              </a:cxn>
              <a:cxn ang="0">
                <a:pos x="558" y="851"/>
              </a:cxn>
              <a:cxn ang="0">
                <a:pos x="429" y="870"/>
              </a:cxn>
              <a:cxn ang="0">
                <a:pos x="344" y="862"/>
              </a:cxn>
              <a:cxn ang="0">
                <a:pos x="263" y="839"/>
              </a:cxn>
              <a:cxn ang="0">
                <a:pos x="186" y="801"/>
              </a:cxn>
              <a:cxn ang="0">
                <a:pos x="120" y="752"/>
              </a:cxn>
              <a:cxn ang="0">
                <a:pos x="69" y="688"/>
              </a:cxn>
              <a:cxn ang="0">
                <a:pos x="30" y="612"/>
              </a:cxn>
              <a:cxn ang="0">
                <a:pos x="7" y="523"/>
              </a:cxn>
              <a:cxn ang="0">
                <a:pos x="0" y="422"/>
              </a:cxn>
              <a:cxn ang="0">
                <a:pos x="229" y="491"/>
              </a:cxn>
              <a:cxn ang="0">
                <a:pos x="248" y="565"/>
              </a:cxn>
              <a:cxn ang="0">
                <a:pos x="286" y="624"/>
              </a:cxn>
              <a:cxn ang="0">
                <a:pos x="332" y="663"/>
              </a:cxn>
              <a:cxn ang="0">
                <a:pos x="387" y="684"/>
              </a:cxn>
              <a:cxn ang="0">
                <a:pos x="449" y="687"/>
              </a:cxn>
              <a:cxn ang="0">
                <a:pos x="507" y="672"/>
              </a:cxn>
              <a:cxn ang="0">
                <a:pos x="557" y="639"/>
              </a:cxn>
              <a:cxn ang="0">
                <a:pos x="597" y="586"/>
              </a:cxn>
              <a:cxn ang="0">
                <a:pos x="623" y="518"/>
              </a:cxn>
              <a:cxn ang="0">
                <a:pos x="631" y="433"/>
              </a:cxn>
              <a:cxn ang="0">
                <a:pos x="623" y="350"/>
              </a:cxn>
              <a:cxn ang="0">
                <a:pos x="597" y="281"/>
              </a:cxn>
              <a:cxn ang="0">
                <a:pos x="557" y="229"/>
              </a:cxn>
              <a:cxn ang="0">
                <a:pos x="507" y="195"/>
              </a:cxn>
              <a:cxn ang="0">
                <a:pos x="449" y="179"/>
              </a:cxn>
              <a:cxn ang="0">
                <a:pos x="387" y="183"/>
              </a:cxn>
              <a:cxn ang="0">
                <a:pos x="332" y="205"/>
              </a:cxn>
              <a:cxn ang="0">
                <a:pos x="286" y="245"/>
              </a:cxn>
              <a:cxn ang="0">
                <a:pos x="248" y="301"/>
              </a:cxn>
              <a:cxn ang="0">
                <a:pos x="229" y="375"/>
              </a:cxn>
            </a:cxnLst>
            <a:rect l="0" t="0" r="r" b="b"/>
            <a:pathLst>
              <a:path w="857" h="870">
                <a:moveTo>
                  <a:pt x="0" y="422"/>
                </a:moveTo>
                <a:lnTo>
                  <a:pt x="0" y="394"/>
                </a:lnTo>
                <a:lnTo>
                  <a:pt x="3" y="367"/>
                </a:lnTo>
                <a:lnTo>
                  <a:pt x="7" y="340"/>
                </a:lnTo>
                <a:lnTo>
                  <a:pt x="14" y="314"/>
                </a:lnTo>
                <a:lnTo>
                  <a:pt x="21" y="288"/>
                </a:lnTo>
                <a:lnTo>
                  <a:pt x="30" y="261"/>
                </a:lnTo>
                <a:lnTo>
                  <a:pt x="42" y="236"/>
                </a:lnTo>
                <a:lnTo>
                  <a:pt x="56" y="211"/>
                </a:lnTo>
                <a:lnTo>
                  <a:pt x="69" y="186"/>
                </a:lnTo>
                <a:lnTo>
                  <a:pt x="84" y="163"/>
                </a:lnTo>
                <a:lnTo>
                  <a:pt x="101" y="140"/>
                </a:lnTo>
                <a:lnTo>
                  <a:pt x="119" y="120"/>
                </a:lnTo>
                <a:lnTo>
                  <a:pt x="139" y="101"/>
                </a:lnTo>
                <a:lnTo>
                  <a:pt x="159" y="84"/>
                </a:lnTo>
                <a:lnTo>
                  <a:pt x="182" y="69"/>
                </a:lnTo>
                <a:lnTo>
                  <a:pt x="206" y="56"/>
                </a:lnTo>
                <a:lnTo>
                  <a:pt x="231" y="42"/>
                </a:lnTo>
                <a:lnTo>
                  <a:pt x="256" y="30"/>
                </a:lnTo>
                <a:lnTo>
                  <a:pt x="283" y="21"/>
                </a:lnTo>
                <a:lnTo>
                  <a:pt x="310" y="14"/>
                </a:lnTo>
                <a:lnTo>
                  <a:pt x="338" y="7"/>
                </a:lnTo>
                <a:lnTo>
                  <a:pt x="367" y="3"/>
                </a:lnTo>
                <a:lnTo>
                  <a:pt x="396" y="0"/>
                </a:lnTo>
                <a:lnTo>
                  <a:pt x="427" y="0"/>
                </a:lnTo>
                <a:lnTo>
                  <a:pt x="473" y="2"/>
                </a:lnTo>
                <a:lnTo>
                  <a:pt x="516" y="7"/>
                </a:lnTo>
                <a:lnTo>
                  <a:pt x="558" y="18"/>
                </a:lnTo>
                <a:lnTo>
                  <a:pt x="598" y="31"/>
                </a:lnTo>
                <a:lnTo>
                  <a:pt x="636" y="49"/>
                </a:lnTo>
                <a:lnTo>
                  <a:pt x="671" y="69"/>
                </a:lnTo>
                <a:lnTo>
                  <a:pt x="705" y="95"/>
                </a:lnTo>
                <a:lnTo>
                  <a:pt x="737" y="124"/>
                </a:lnTo>
                <a:lnTo>
                  <a:pt x="764" y="155"/>
                </a:lnTo>
                <a:lnTo>
                  <a:pt x="788" y="189"/>
                </a:lnTo>
                <a:lnTo>
                  <a:pt x="810" y="224"/>
                </a:lnTo>
                <a:lnTo>
                  <a:pt x="826" y="261"/>
                </a:lnTo>
                <a:lnTo>
                  <a:pt x="839" y="300"/>
                </a:lnTo>
                <a:lnTo>
                  <a:pt x="849" y="342"/>
                </a:lnTo>
                <a:lnTo>
                  <a:pt x="854" y="385"/>
                </a:lnTo>
                <a:lnTo>
                  <a:pt x="857" y="432"/>
                </a:lnTo>
                <a:lnTo>
                  <a:pt x="854" y="477"/>
                </a:lnTo>
                <a:lnTo>
                  <a:pt x="849" y="522"/>
                </a:lnTo>
                <a:lnTo>
                  <a:pt x="839" y="563"/>
                </a:lnTo>
                <a:lnTo>
                  <a:pt x="826" y="604"/>
                </a:lnTo>
                <a:lnTo>
                  <a:pt x="808" y="641"/>
                </a:lnTo>
                <a:lnTo>
                  <a:pt x="787" y="678"/>
                </a:lnTo>
                <a:lnTo>
                  <a:pt x="763" y="711"/>
                </a:lnTo>
                <a:lnTo>
                  <a:pt x="734" y="744"/>
                </a:lnTo>
                <a:lnTo>
                  <a:pt x="702" y="772"/>
                </a:lnTo>
                <a:lnTo>
                  <a:pt x="670" y="797"/>
                </a:lnTo>
                <a:lnTo>
                  <a:pt x="635" y="819"/>
                </a:lnTo>
                <a:lnTo>
                  <a:pt x="597" y="838"/>
                </a:lnTo>
                <a:lnTo>
                  <a:pt x="558" y="851"/>
                </a:lnTo>
                <a:lnTo>
                  <a:pt x="516" y="862"/>
                </a:lnTo>
                <a:lnTo>
                  <a:pt x="473" y="867"/>
                </a:lnTo>
                <a:lnTo>
                  <a:pt x="429" y="870"/>
                </a:lnTo>
                <a:lnTo>
                  <a:pt x="399" y="868"/>
                </a:lnTo>
                <a:lnTo>
                  <a:pt x="371" y="866"/>
                </a:lnTo>
                <a:lnTo>
                  <a:pt x="344" y="862"/>
                </a:lnTo>
                <a:lnTo>
                  <a:pt x="317" y="855"/>
                </a:lnTo>
                <a:lnTo>
                  <a:pt x="290" y="848"/>
                </a:lnTo>
                <a:lnTo>
                  <a:pt x="263" y="839"/>
                </a:lnTo>
                <a:lnTo>
                  <a:pt x="237" y="828"/>
                </a:lnTo>
                <a:lnTo>
                  <a:pt x="212" y="816"/>
                </a:lnTo>
                <a:lnTo>
                  <a:pt x="186" y="801"/>
                </a:lnTo>
                <a:lnTo>
                  <a:pt x="163" y="787"/>
                </a:lnTo>
                <a:lnTo>
                  <a:pt x="140" y="770"/>
                </a:lnTo>
                <a:lnTo>
                  <a:pt x="120" y="752"/>
                </a:lnTo>
                <a:lnTo>
                  <a:pt x="101" y="731"/>
                </a:lnTo>
                <a:lnTo>
                  <a:pt x="84" y="711"/>
                </a:lnTo>
                <a:lnTo>
                  <a:pt x="69" y="688"/>
                </a:lnTo>
                <a:lnTo>
                  <a:pt x="56" y="664"/>
                </a:lnTo>
                <a:lnTo>
                  <a:pt x="42" y="639"/>
                </a:lnTo>
                <a:lnTo>
                  <a:pt x="30" y="612"/>
                </a:lnTo>
                <a:lnTo>
                  <a:pt x="21" y="584"/>
                </a:lnTo>
                <a:lnTo>
                  <a:pt x="14" y="554"/>
                </a:lnTo>
                <a:lnTo>
                  <a:pt x="7" y="523"/>
                </a:lnTo>
                <a:lnTo>
                  <a:pt x="3" y="491"/>
                </a:lnTo>
                <a:lnTo>
                  <a:pt x="0" y="457"/>
                </a:lnTo>
                <a:lnTo>
                  <a:pt x="0" y="422"/>
                </a:lnTo>
                <a:close/>
                <a:moveTo>
                  <a:pt x="227" y="433"/>
                </a:moveTo>
                <a:lnTo>
                  <a:pt x="227" y="463"/>
                </a:lnTo>
                <a:lnTo>
                  <a:pt x="229" y="491"/>
                </a:lnTo>
                <a:lnTo>
                  <a:pt x="235" y="518"/>
                </a:lnTo>
                <a:lnTo>
                  <a:pt x="240" y="542"/>
                </a:lnTo>
                <a:lnTo>
                  <a:pt x="248" y="565"/>
                </a:lnTo>
                <a:lnTo>
                  <a:pt x="259" y="586"/>
                </a:lnTo>
                <a:lnTo>
                  <a:pt x="271" y="605"/>
                </a:lnTo>
                <a:lnTo>
                  <a:pt x="286" y="624"/>
                </a:lnTo>
                <a:lnTo>
                  <a:pt x="299" y="639"/>
                </a:lnTo>
                <a:lnTo>
                  <a:pt x="316" y="652"/>
                </a:lnTo>
                <a:lnTo>
                  <a:pt x="332" y="663"/>
                </a:lnTo>
                <a:lnTo>
                  <a:pt x="349" y="672"/>
                </a:lnTo>
                <a:lnTo>
                  <a:pt x="368" y="679"/>
                </a:lnTo>
                <a:lnTo>
                  <a:pt x="387" y="684"/>
                </a:lnTo>
                <a:lnTo>
                  <a:pt x="407" y="687"/>
                </a:lnTo>
                <a:lnTo>
                  <a:pt x="429" y="688"/>
                </a:lnTo>
                <a:lnTo>
                  <a:pt x="449" y="687"/>
                </a:lnTo>
                <a:lnTo>
                  <a:pt x="469" y="684"/>
                </a:lnTo>
                <a:lnTo>
                  <a:pt x="488" y="679"/>
                </a:lnTo>
                <a:lnTo>
                  <a:pt x="507" y="672"/>
                </a:lnTo>
                <a:lnTo>
                  <a:pt x="524" y="663"/>
                </a:lnTo>
                <a:lnTo>
                  <a:pt x="540" y="652"/>
                </a:lnTo>
                <a:lnTo>
                  <a:pt x="557" y="639"/>
                </a:lnTo>
                <a:lnTo>
                  <a:pt x="573" y="624"/>
                </a:lnTo>
                <a:lnTo>
                  <a:pt x="586" y="605"/>
                </a:lnTo>
                <a:lnTo>
                  <a:pt x="597" y="586"/>
                </a:lnTo>
                <a:lnTo>
                  <a:pt x="608" y="565"/>
                </a:lnTo>
                <a:lnTo>
                  <a:pt x="616" y="542"/>
                </a:lnTo>
                <a:lnTo>
                  <a:pt x="623" y="518"/>
                </a:lnTo>
                <a:lnTo>
                  <a:pt x="627" y="491"/>
                </a:lnTo>
                <a:lnTo>
                  <a:pt x="629" y="463"/>
                </a:lnTo>
                <a:lnTo>
                  <a:pt x="631" y="433"/>
                </a:lnTo>
                <a:lnTo>
                  <a:pt x="629" y="404"/>
                </a:lnTo>
                <a:lnTo>
                  <a:pt x="627" y="375"/>
                </a:lnTo>
                <a:lnTo>
                  <a:pt x="623" y="350"/>
                </a:lnTo>
                <a:lnTo>
                  <a:pt x="616" y="324"/>
                </a:lnTo>
                <a:lnTo>
                  <a:pt x="608" y="301"/>
                </a:lnTo>
                <a:lnTo>
                  <a:pt x="597" y="281"/>
                </a:lnTo>
                <a:lnTo>
                  <a:pt x="586" y="263"/>
                </a:lnTo>
                <a:lnTo>
                  <a:pt x="573" y="245"/>
                </a:lnTo>
                <a:lnTo>
                  <a:pt x="557" y="229"/>
                </a:lnTo>
                <a:lnTo>
                  <a:pt x="540" y="215"/>
                </a:lnTo>
                <a:lnTo>
                  <a:pt x="524" y="205"/>
                </a:lnTo>
                <a:lnTo>
                  <a:pt x="507" y="195"/>
                </a:lnTo>
                <a:lnTo>
                  <a:pt x="488" y="189"/>
                </a:lnTo>
                <a:lnTo>
                  <a:pt x="469" y="183"/>
                </a:lnTo>
                <a:lnTo>
                  <a:pt x="449" y="179"/>
                </a:lnTo>
                <a:lnTo>
                  <a:pt x="429" y="179"/>
                </a:lnTo>
                <a:lnTo>
                  <a:pt x="407" y="179"/>
                </a:lnTo>
                <a:lnTo>
                  <a:pt x="387" y="183"/>
                </a:lnTo>
                <a:lnTo>
                  <a:pt x="368" y="189"/>
                </a:lnTo>
                <a:lnTo>
                  <a:pt x="349" y="195"/>
                </a:lnTo>
                <a:lnTo>
                  <a:pt x="332" y="205"/>
                </a:lnTo>
                <a:lnTo>
                  <a:pt x="316" y="215"/>
                </a:lnTo>
                <a:lnTo>
                  <a:pt x="299" y="229"/>
                </a:lnTo>
                <a:lnTo>
                  <a:pt x="286" y="245"/>
                </a:lnTo>
                <a:lnTo>
                  <a:pt x="271" y="263"/>
                </a:lnTo>
                <a:lnTo>
                  <a:pt x="259" y="281"/>
                </a:lnTo>
                <a:lnTo>
                  <a:pt x="248" y="301"/>
                </a:lnTo>
                <a:lnTo>
                  <a:pt x="240" y="324"/>
                </a:lnTo>
                <a:lnTo>
                  <a:pt x="235" y="350"/>
                </a:lnTo>
                <a:lnTo>
                  <a:pt x="229" y="375"/>
                </a:lnTo>
                <a:lnTo>
                  <a:pt x="227" y="404"/>
                </a:lnTo>
                <a:lnTo>
                  <a:pt x="227" y="43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3" name="Freeform 201">
            <a:extLst>
              <a:ext uri="{FF2B5EF4-FFF2-40B4-BE49-F238E27FC236}">
                <a16:creationId xmlns:a16="http://schemas.microsoft.com/office/drawing/2014/main" id="{00000000-0008-0000-0000-0000C90C0000}"/>
              </a:ext>
            </a:extLst>
          </xdr:cNvPr>
          <xdr:cNvSpPr>
            <a:spLocks noEditPoints="1"/>
          </xdr:cNvSpPr>
        </xdr:nvSpPr>
        <xdr:spPr bwMode="auto">
          <a:xfrm>
            <a:off x="4342" y="14187"/>
            <a:ext cx="404" cy="583"/>
          </a:xfrm>
          <a:custGeom>
            <a:avLst/>
            <a:gdLst/>
            <a:ahLst/>
            <a:cxnLst>
              <a:cxn ang="0">
                <a:pos x="0" y="964"/>
              </a:cxn>
              <a:cxn ang="0">
                <a:pos x="0" y="361"/>
              </a:cxn>
              <a:cxn ang="0">
                <a:pos x="0" y="0"/>
              </a:cxn>
              <a:cxn ang="0">
                <a:pos x="69" y="0"/>
              </a:cxn>
              <a:cxn ang="0">
                <a:pos x="185" y="0"/>
              </a:cxn>
              <a:cxn ang="0">
                <a:pos x="220" y="17"/>
              </a:cxn>
              <a:cxn ang="0">
                <a:pos x="220" y="205"/>
              </a:cxn>
              <a:cxn ang="0">
                <a:pos x="220" y="393"/>
              </a:cxn>
              <a:cxn ang="0">
                <a:pos x="272" y="361"/>
              </a:cxn>
              <a:cxn ang="0">
                <a:pos x="360" y="313"/>
              </a:cxn>
              <a:cxn ang="0">
                <a:pos x="460" y="296"/>
              </a:cxn>
              <a:cxn ang="0">
                <a:pos x="566" y="311"/>
              </a:cxn>
              <a:cxn ang="0">
                <a:pos x="658" y="358"/>
              </a:cxn>
              <a:cxn ang="0">
                <a:pos x="733" y="435"/>
              </a:cxn>
              <a:cxn ang="0">
                <a:pos x="784" y="540"/>
              </a:cxn>
              <a:cxn ang="0">
                <a:pos x="807" y="670"/>
              </a:cxn>
              <a:cxn ang="0">
                <a:pos x="803" y="821"/>
              </a:cxn>
              <a:cxn ang="0">
                <a:pos x="769" y="948"/>
              </a:cxn>
              <a:cxn ang="0">
                <a:pos x="709" y="1049"/>
              </a:cxn>
              <a:cxn ang="0">
                <a:pos x="627" y="1119"/>
              </a:cxn>
              <a:cxn ang="0">
                <a:pos x="531" y="1158"/>
              </a:cxn>
              <a:cxn ang="0">
                <a:pos x="445" y="1164"/>
              </a:cxn>
              <a:cxn ang="0">
                <a:pos x="392" y="1155"/>
              </a:cxn>
              <a:cxn ang="0">
                <a:pos x="338" y="1135"/>
              </a:cxn>
              <a:cxn ang="0">
                <a:pos x="289" y="1107"/>
              </a:cxn>
              <a:cxn ang="0">
                <a:pos x="244" y="1068"/>
              </a:cxn>
              <a:cxn ang="0">
                <a:pos x="204" y="1022"/>
              </a:cxn>
              <a:cxn ang="0">
                <a:pos x="204" y="1060"/>
              </a:cxn>
              <a:cxn ang="0">
                <a:pos x="204" y="1123"/>
              </a:cxn>
              <a:cxn ang="0">
                <a:pos x="194" y="1143"/>
              </a:cxn>
              <a:cxn ang="0">
                <a:pos x="101" y="1143"/>
              </a:cxn>
              <a:cxn ang="0">
                <a:pos x="9" y="1143"/>
              </a:cxn>
              <a:cxn ang="0">
                <a:pos x="217" y="743"/>
              </a:cxn>
              <a:cxn ang="0">
                <a:pos x="227" y="823"/>
              </a:cxn>
              <a:cxn ang="0">
                <a:pos x="247" y="886"/>
              </a:cxn>
              <a:cxn ang="0">
                <a:pos x="287" y="941"/>
              </a:cxn>
              <a:cxn ang="0">
                <a:pos x="343" y="979"/>
              </a:cxn>
              <a:cxn ang="0">
                <a:pos x="409" y="991"/>
              </a:cxn>
              <a:cxn ang="0">
                <a:pos x="461" y="982"/>
              </a:cxn>
              <a:cxn ang="0">
                <a:pos x="507" y="956"/>
              </a:cxn>
              <a:cxn ang="0">
                <a:pos x="545" y="912"/>
              </a:cxn>
              <a:cxn ang="0">
                <a:pos x="571" y="849"/>
              </a:cxn>
              <a:cxn ang="0">
                <a:pos x="584" y="764"/>
              </a:cxn>
              <a:cxn ang="0">
                <a:pos x="581" y="667"/>
              </a:cxn>
              <a:cxn ang="0">
                <a:pos x="565" y="585"/>
              </a:cxn>
              <a:cxn ang="0">
                <a:pos x="534" y="526"/>
              </a:cxn>
              <a:cxn ang="0">
                <a:pos x="489" y="489"/>
              </a:cxn>
              <a:cxn ang="0">
                <a:pos x="438" y="467"/>
              </a:cxn>
              <a:cxn ang="0">
                <a:pos x="380" y="464"/>
              </a:cxn>
              <a:cxn ang="0">
                <a:pos x="328" y="479"/>
              </a:cxn>
              <a:cxn ang="0">
                <a:pos x="283" y="510"/>
              </a:cxn>
              <a:cxn ang="0">
                <a:pos x="246" y="560"/>
              </a:cxn>
              <a:cxn ang="0">
                <a:pos x="224" y="626"/>
              </a:cxn>
              <a:cxn ang="0">
                <a:pos x="217" y="712"/>
              </a:cxn>
            </a:cxnLst>
            <a:rect l="0" t="0" r="r" b="b"/>
            <a:pathLst>
              <a:path w="810" h="1166">
                <a:moveTo>
                  <a:pt x="0" y="1143"/>
                </a:moveTo>
                <a:lnTo>
                  <a:pt x="0" y="1093"/>
                </a:lnTo>
                <a:lnTo>
                  <a:pt x="0" y="964"/>
                </a:lnTo>
                <a:lnTo>
                  <a:pt x="0" y="780"/>
                </a:lnTo>
                <a:lnTo>
                  <a:pt x="0" y="571"/>
                </a:lnTo>
                <a:lnTo>
                  <a:pt x="0" y="361"/>
                </a:lnTo>
                <a:lnTo>
                  <a:pt x="0" y="177"/>
                </a:lnTo>
                <a:lnTo>
                  <a:pt x="0" y="48"/>
                </a:lnTo>
                <a:lnTo>
                  <a:pt x="0" y="0"/>
                </a:lnTo>
                <a:lnTo>
                  <a:pt x="10" y="0"/>
                </a:lnTo>
                <a:lnTo>
                  <a:pt x="34" y="0"/>
                </a:lnTo>
                <a:lnTo>
                  <a:pt x="69" y="0"/>
                </a:lnTo>
                <a:lnTo>
                  <a:pt x="110" y="0"/>
                </a:lnTo>
                <a:lnTo>
                  <a:pt x="150" y="0"/>
                </a:lnTo>
                <a:lnTo>
                  <a:pt x="185" y="0"/>
                </a:lnTo>
                <a:lnTo>
                  <a:pt x="209" y="0"/>
                </a:lnTo>
                <a:lnTo>
                  <a:pt x="220" y="0"/>
                </a:lnTo>
                <a:lnTo>
                  <a:pt x="220" y="17"/>
                </a:lnTo>
                <a:lnTo>
                  <a:pt x="220" y="63"/>
                </a:lnTo>
                <a:lnTo>
                  <a:pt x="220" y="130"/>
                </a:lnTo>
                <a:lnTo>
                  <a:pt x="220" y="205"/>
                </a:lnTo>
                <a:lnTo>
                  <a:pt x="220" y="280"/>
                </a:lnTo>
                <a:lnTo>
                  <a:pt x="220" y="348"/>
                </a:lnTo>
                <a:lnTo>
                  <a:pt x="220" y="393"/>
                </a:lnTo>
                <a:lnTo>
                  <a:pt x="220" y="412"/>
                </a:lnTo>
                <a:lnTo>
                  <a:pt x="246" y="384"/>
                </a:lnTo>
                <a:lnTo>
                  <a:pt x="272" y="361"/>
                </a:lnTo>
                <a:lnTo>
                  <a:pt x="301" y="341"/>
                </a:lnTo>
                <a:lnTo>
                  <a:pt x="329" y="325"/>
                </a:lnTo>
                <a:lnTo>
                  <a:pt x="360" y="313"/>
                </a:lnTo>
                <a:lnTo>
                  <a:pt x="392" y="303"/>
                </a:lnTo>
                <a:lnTo>
                  <a:pt x="425" y="298"/>
                </a:lnTo>
                <a:lnTo>
                  <a:pt x="460" y="296"/>
                </a:lnTo>
                <a:lnTo>
                  <a:pt x="496" y="298"/>
                </a:lnTo>
                <a:lnTo>
                  <a:pt x="531" y="303"/>
                </a:lnTo>
                <a:lnTo>
                  <a:pt x="566" y="311"/>
                </a:lnTo>
                <a:lnTo>
                  <a:pt x="598" y="323"/>
                </a:lnTo>
                <a:lnTo>
                  <a:pt x="629" y="339"/>
                </a:lnTo>
                <a:lnTo>
                  <a:pt x="658" y="358"/>
                </a:lnTo>
                <a:lnTo>
                  <a:pt x="685" y="380"/>
                </a:lnTo>
                <a:lnTo>
                  <a:pt x="712" y="407"/>
                </a:lnTo>
                <a:lnTo>
                  <a:pt x="733" y="435"/>
                </a:lnTo>
                <a:lnTo>
                  <a:pt x="753" y="467"/>
                </a:lnTo>
                <a:lnTo>
                  <a:pt x="771" y="502"/>
                </a:lnTo>
                <a:lnTo>
                  <a:pt x="784" y="540"/>
                </a:lnTo>
                <a:lnTo>
                  <a:pt x="795" y="580"/>
                </a:lnTo>
                <a:lnTo>
                  <a:pt x="803" y="624"/>
                </a:lnTo>
                <a:lnTo>
                  <a:pt x="807" y="670"/>
                </a:lnTo>
                <a:lnTo>
                  <a:pt x="810" y="721"/>
                </a:lnTo>
                <a:lnTo>
                  <a:pt x="807" y="772"/>
                </a:lnTo>
                <a:lnTo>
                  <a:pt x="803" y="821"/>
                </a:lnTo>
                <a:lnTo>
                  <a:pt x="795" y="866"/>
                </a:lnTo>
                <a:lnTo>
                  <a:pt x="784" y="909"/>
                </a:lnTo>
                <a:lnTo>
                  <a:pt x="769" y="948"/>
                </a:lnTo>
                <a:lnTo>
                  <a:pt x="752" y="984"/>
                </a:lnTo>
                <a:lnTo>
                  <a:pt x="732" y="1018"/>
                </a:lnTo>
                <a:lnTo>
                  <a:pt x="709" y="1049"/>
                </a:lnTo>
                <a:lnTo>
                  <a:pt x="682" y="1076"/>
                </a:lnTo>
                <a:lnTo>
                  <a:pt x="655" y="1099"/>
                </a:lnTo>
                <a:lnTo>
                  <a:pt x="627" y="1119"/>
                </a:lnTo>
                <a:lnTo>
                  <a:pt x="596" y="1135"/>
                </a:lnTo>
                <a:lnTo>
                  <a:pt x="565" y="1148"/>
                </a:lnTo>
                <a:lnTo>
                  <a:pt x="531" y="1158"/>
                </a:lnTo>
                <a:lnTo>
                  <a:pt x="497" y="1163"/>
                </a:lnTo>
                <a:lnTo>
                  <a:pt x="462" y="1166"/>
                </a:lnTo>
                <a:lnTo>
                  <a:pt x="445" y="1164"/>
                </a:lnTo>
                <a:lnTo>
                  <a:pt x="427" y="1163"/>
                </a:lnTo>
                <a:lnTo>
                  <a:pt x="410" y="1159"/>
                </a:lnTo>
                <a:lnTo>
                  <a:pt x="392" y="1155"/>
                </a:lnTo>
                <a:lnTo>
                  <a:pt x="373" y="1150"/>
                </a:lnTo>
                <a:lnTo>
                  <a:pt x="356" y="1143"/>
                </a:lnTo>
                <a:lnTo>
                  <a:pt x="338" y="1135"/>
                </a:lnTo>
                <a:lnTo>
                  <a:pt x="322" y="1127"/>
                </a:lnTo>
                <a:lnTo>
                  <a:pt x="305" y="1116"/>
                </a:lnTo>
                <a:lnTo>
                  <a:pt x="289" y="1107"/>
                </a:lnTo>
                <a:lnTo>
                  <a:pt x="274" y="1095"/>
                </a:lnTo>
                <a:lnTo>
                  <a:pt x="259" y="1083"/>
                </a:lnTo>
                <a:lnTo>
                  <a:pt x="244" y="1068"/>
                </a:lnTo>
                <a:lnTo>
                  <a:pt x="229" y="1054"/>
                </a:lnTo>
                <a:lnTo>
                  <a:pt x="216" y="1038"/>
                </a:lnTo>
                <a:lnTo>
                  <a:pt x="204" y="1022"/>
                </a:lnTo>
                <a:lnTo>
                  <a:pt x="204" y="1026"/>
                </a:lnTo>
                <a:lnTo>
                  <a:pt x="204" y="1041"/>
                </a:lnTo>
                <a:lnTo>
                  <a:pt x="204" y="1060"/>
                </a:lnTo>
                <a:lnTo>
                  <a:pt x="204" y="1083"/>
                </a:lnTo>
                <a:lnTo>
                  <a:pt x="204" y="1104"/>
                </a:lnTo>
                <a:lnTo>
                  <a:pt x="204" y="1123"/>
                </a:lnTo>
                <a:lnTo>
                  <a:pt x="204" y="1138"/>
                </a:lnTo>
                <a:lnTo>
                  <a:pt x="204" y="1143"/>
                </a:lnTo>
                <a:lnTo>
                  <a:pt x="194" y="1143"/>
                </a:lnTo>
                <a:lnTo>
                  <a:pt x="171" y="1143"/>
                </a:lnTo>
                <a:lnTo>
                  <a:pt x="139" y="1143"/>
                </a:lnTo>
                <a:lnTo>
                  <a:pt x="101" y="1143"/>
                </a:lnTo>
                <a:lnTo>
                  <a:pt x="64" y="1143"/>
                </a:lnTo>
                <a:lnTo>
                  <a:pt x="31" y="1143"/>
                </a:lnTo>
                <a:lnTo>
                  <a:pt x="9" y="1143"/>
                </a:lnTo>
                <a:lnTo>
                  <a:pt x="0" y="1143"/>
                </a:lnTo>
                <a:close/>
                <a:moveTo>
                  <a:pt x="217" y="712"/>
                </a:moveTo>
                <a:lnTo>
                  <a:pt x="217" y="743"/>
                </a:lnTo>
                <a:lnTo>
                  <a:pt x="219" y="771"/>
                </a:lnTo>
                <a:lnTo>
                  <a:pt x="221" y="799"/>
                </a:lnTo>
                <a:lnTo>
                  <a:pt x="227" y="823"/>
                </a:lnTo>
                <a:lnTo>
                  <a:pt x="232" y="847"/>
                </a:lnTo>
                <a:lnTo>
                  <a:pt x="239" y="868"/>
                </a:lnTo>
                <a:lnTo>
                  <a:pt x="247" y="886"/>
                </a:lnTo>
                <a:lnTo>
                  <a:pt x="256" y="904"/>
                </a:lnTo>
                <a:lnTo>
                  <a:pt x="271" y="924"/>
                </a:lnTo>
                <a:lnTo>
                  <a:pt x="287" y="941"/>
                </a:lnTo>
                <a:lnTo>
                  <a:pt x="305" y="956"/>
                </a:lnTo>
                <a:lnTo>
                  <a:pt x="324" y="970"/>
                </a:lnTo>
                <a:lnTo>
                  <a:pt x="343" y="979"/>
                </a:lnTo>
                <a:lnTo>
                  <a:pt x="364" y="986"/>
                </a:lnTo>
                <a:lnTo>
                  <a:pt x="386" y="990"/>
                </a:lnTo>
                <a:lnTo>
                  <a:pt x="409" y="991"/>
                </a:lnTo>
                <a:lnTo>
                  <a:pt x="426" y="990"/>
                </a:lnTo>
                <a:lnTo>
                  <a:pt x="444" y="987"/>
                </a:lnTo>
                <a:lnTo>
                  <a:pt x="461" y="982"/>
                </a:lnTo>
                <a:lnTo>
                  <a:pt x="477" y="975"/>
                </a:lnTo>
                <a:lnTo>
                  <a:pt x="492" y="967"/>
                </a:lnTo>
                <a:lnTo>
                  <a:pt x="507" y="956"/>
                </a:lnTo>
                <a:lnTo>
                  <a:pt x="520" y="943"/>
                </a:lnTo>
                <a:lnTo>
                  <a:pt x="534" y="929"/>
                </a:lnTo>
                <a:lnTo>
                  <a:pt x="545" y="912"/>
                </a:lnTo>
                <a:lnTo>
                  <a:pt x="555" y="893"/>
                </a:lnTo>
                <a:lnTo>
                  <a:pt x="565" y="872"/>
                </a:lnTo>
                <a:lnTo>
                  <a:pt x="571" y="849"/>
                </a:lnTo>
                <a:lnTo>
                  <a:pt x="577" y="823"/>
                </a:lnTo>
                <a:lnTo>
                  <a:pt x="581" y="795"/>
                </a:lnTo>
                <a:lnTo>
                  <a:pt x="584" y="764"/>
                </a:lnTo>
                <a:lnTo>
                  <a:pt x="585" y="733"/>
                </a:lnTo>
                <a:lnTo>
                  <a:pt x="584" y="698"/>
                </a:lnTo>
                <a:lnTo>
                  <a:pt x="581" y="667"/>
                </a:lnTo>
                <a:lnTo>
                  <a:pt x="577" y="638"/>
                </a:lnTo>
                <a:lnTo>
                  <a:pt x="571" y="611"/>
                </a:lnTo>
                <a:lnTo>
                  <a:pt x="565" y="585"/>
                </a:lnTo>
                <a:lnTo>
                  <a:pt x="555" y="564"/>
                </a:lnTo>
                <a:lnTo>
                  <a:pt x="545" y="544"/>
                </a:lnTo>
                <a:lnTo>
                  <a:pt x="534" y="526"/>
                </a:lnTo>
                <a:lnTo>
                  <a:pt x="519" y="511"/>
                </a:lnTo>
                <a:lnTo>
                  <a:pt x="505" y="499"/>
                </a:lnTo>
                <a:lnTo>
                  <a:pt x="489" y="489"/>
                </a:lnTo>
                <a:lnTo>
                  <a:pt x="473" y="479"/>
                </a:lnTo>
                <a:lnTo>
                  <a:pt x="457" y="473"/>
                </a:lnTo>
                <a:lnTo>
                  <a:pt x="438" y="467"/>
                </a:lnTo>
                <a:lnTo>
                  <a:pt x="419" y="464"/>
                </a:lnTo>
                <a:lnTo>
                  <a:pt x="400" y="464"/>
                </a:lnTo>
                <a:lnTo>
                  <a:pt x="380" y="464"/>
                </a:lnTo>
                <a:lnTo>
                  <a:pt x="363" y="467"/>
                </a:lnTo>
                <a:lnTo>
                  <a:pt x="345" y="473"/>
                </a:lnTo>
                <a:lnTo>
                  <a:pt x="328" y="479"/>
                </a:lnTo>
                <a:lnTo>
                  <a:pt x="312" y="489"/>
                </a:lnTo>
                <a:lnTo>
                  <a:pt x="297" y="498"/>
                </a:lnTo>
                <a:lnTo>
                  <a:pt x="283" y="510"/>
                </a:lnTo>
                <a:lnTo>
                  <a:pt x="270" y="525"/>
                </a:lnTo>
                <a:lnTo>
                  <a:pt x="256" y="541"/>
                </a:lnTo>
                <a:lnTo>
                  <a:pt x="246" y="560"/>
                </a:lnTo>
                <a:lnTo>
                  <a:pt x="237" y="580"/>
                </a:lnTo>
                <a:lnTo>
                  <a:pt x="229" y="602"/>
                </a:lnTo>
                <a:lnTo>
                  <a:pt x="224" y="626"/>
                </a:lnTo>
                <a:lnTo>
                  <a:pt x="220" y="653"/>
                </a:lnTo>
                <a:lnTo>
                  <a:pt x="217" y="681"/>
                </a:lnTo>
                <a:lnTo>
                  <a:pt x="217" y="712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4" name="Freeform 202">
            <a:extLst>
              <a:ext uri="{FF2B5EF4-FFF2-40B4-BE49-F238E27FC236}">
                <a16:creationId xmlns:a16="http://schemas.microsoft.com/office/drawing/2014/main" id="{00000000-0008-0000-0000-0000CA0C0000}"/>
              </a:ext>
            </a:extLst>
          </xdr:cNvPr>
          <xdr:cNvSpPr>
            <a:spLocks noEditPoints="1"/>
          </xdr:cNvSpPr>
        </xdr:nvSpPr>
        <xdr:spPr bwMode="auto">
          <a:xfrm>
            <a:off x="4821" y="14335"/>
            <a:ext cx="387" cy="435"/>
          </a:xfrm>
          <a:custGeom>
            <a:avLst/>
            <a:gdLst/>
            <a:ahLst/>
            <a:cxnLst>
              <a:cxn ang="0">
                <a:pos x="577" y="590"/>
              </a:cxn>
              <a:cxn ang="0">
                <a:pos x="692" y="609"/>
              </a:cxn>
              <a:cxn ang="0">
                <a:pos x="763" y="621"/>
              </a:cxn>
              <a:cxn ang="0">
                <a:pos x="723" y="703"/>
              </a:cxn>
              <a:cxn ang="0">
                <a:pos x="672" y="769"/>
              </a:cxn>
              <a:cxn ang="0">
                <a:pos x="606" y="819"/>
              </a:cxn>
              <a:cxn ang="0">
                <a:pos x="526" y="852"/>
              </a:cxn>
              <a:cxn ang="0">
                <a:pos x="434" y="868"/>
              </a:cxn>
              <a:cxn ang="0">
                <a:pos x="299" y="860"/>
              </a:cxn>
              <a:cxn ang="0">
                <a:pos x="174" y="812"/>
              </a:cxn>
              <a:cxn ang="0">
                <a:pos x="81" y="726"/>
              </a:cxn>
              <a:cxn ang="0">
                <a:pos x="31" y="632"/>
              </a:cxn>
              <a:cxn ang="0">
                <a:pos x="4" y="522"/>
              </a:cxn>
              <a:cxn ang="0">
                <a:pos x="2" y="389"/>
              </a:cxn>
              <a:cxn ang="0">
                <a:pos x="26" y="256"/>
              </a:cxn>
              <a:cxn ang="0">
                <a:pos x="81" y="147"/>
              </a:cxn>
              <a:cxn ang="0">
                <a:pos x="163" y="65"/>
              </a:cxn>
              <a:cxn ang="0">
                <a:pos x="263" y="17"/>
              </a:cxn>
              <a:cxn ang="0">
                <a:pos x="380" y="0"/>
              </a:cxn>
              <a:cxn ang="0">
                <a:pos x="508" y="18"/>
              </a:cxn>
              <a:cxn ang="0">
                <a:pos x="613" y="69"/>
              </a:cxn>
              <a:cxn ang="0">
                <a:pos x="695" y="156"/>
              </a:cxn>
              <a:cxn ang="0">
                <a:pos x="750" y="277"/>
              </a:cxn>
              <a:cxn ang="0">
                <a:pos x="772" y="436"/>
              </a:cxn>
              <a:cxn ang="0">
                <a:pos x="687" y="498"/>
              </a:cxn>
              <a:cxn ang="0">
                <a:pos x="398" y="498"/>
              </a:cxn>
              <a:cxn ang="0">
                <a:pos x="225" y="498"/>
              </a:cxn>
              <a:cxn ang="0">
                <a:pos x="233" y="563"/>
              </a:cxn>
              <a:cxn ang="0">
                <a:pos x="255" y="619"/>
              </a:cxn>
              <a:cxn ang="0">
                <a:pos x="290" y="662"/>
              </a:cxn>
              <a:cxn ang="0">
                <a:pos x="334" y="690"/>
              </a:cxn>
              <a:cxn ang="0">
                <a:pos x="385" y="702"/>
              </a:cxn>
              <a:cxn ang="0">
                <a:pos x="429" y="701"/>
              </a:cxn>
              <a:cxn ang="0">
                <a:pos x="461" y="691"/>
              </a:cxn>
              <a:cxn ang="0">
                <a:pos x="490" y="675"/>
              </a:cxn>
              <a:cxn ang="0">
                <a:pos x="515" y="649"/>
              </a:cxn>
              <a:cxn ang="0">
                <a:pos x="534" y="613"/>
              </a:cxn>
              <a:cxn ang="0">
                <a:pos x="556" y="363"/>
              </a:cxn>
              <a:cxn ang="0">
                <a:pos x="548" y="297"/>
              </a:cxn>
              <a:cxn ang="0">
                <a:pos x="527" y="245"/>
              </a:cxn>
              <a:cxn ang="0">
                <a:pos x="495" y="206"/>
              </a:cxn>
              <a:cxn ang="0">
                <a:pos x="454" y="181"/>
              </a:cxn>
              <a:cxn ang="0">
                <a:pos x="410" y="168"/>
              </a:cxn>
              <a:cxn ang="0">
                <a:pos x="359" y="171"/>
              </a:cxn>
              <a:cxn ang="0">
                <a:pos x="313" y="189"/>
              </a:cxn>
              <a:cxn ang="0">
                <a:pos x="275" y="221"/>
              </a:cxn>
              <a:cxn ang="0">
                <a:pos x="245" y="265"/>
              </a:cxn>
              <a:cxn ang="0">
                <a:pos x="231" y="320"/>
              </a:cxn>
              <a:cxn ang="0">
                <a:pos x="241" y="363"/>
              </a:cxn>
              <a:cxn ang="0">
                <a:pos x="392" y="363"/>
              </a:cxn>
              <a:cxn ang="0">
                <a:pos x="542" y="363"/>
              </a:cxn>
            </a:cxnLst>
            <a:rect l="0" t="0" r="r" b="b"/>
            <a:pathLst>
              <a:path w="773" h="870">
                <a:moveTo>
                  <a:pt x="543" y="585"/>
                </a:moveTo>
                <a:lnTo>
                  <a:pt x="552" y="586"/>
                </a:lnTo>
                <a:lnTo>
                  <a:pt x="577" y="590"/>
                </a:lnTo>
                <a:lnTo>
                  <a:pt x="612" y="596"/>
                </a:lnTo>
                <a:lnTo>
                  <a:pt x="652" y="602"/>
                </a:lnTo>
                <a:lnTo>
                  <a:pt x="692" y="609"/>
                </a:lnTo>
                <a:lnTo>
                  <a:pt x="728" y="615"/>
                </a:lnTo>
                <a:lnTo>
                  <a:pt x="752" y="619"/>
                </a:lnTo>
                <a:lnTo>
                  <a:pt x="763" y="621"/>
                </a:lnTo>
                <a:lnTo>
                  <a:pt x="750" y="649"/>
                </a:lnTo>
                <a:lnTo>
                  <a:pt x="738" y="678"/>
                </a:lnTo>
                <a:lnTo>
                  <a:pt x="723" y="703"/>
                </a:lnTo>
                <a:lnTo>
                  <a:pt x="709" y="727"/>
                </a:lnTo>
                <a:lnTo>
                  <a:pt x="691" y="749"/>
                </a:lnTo>
                <a:lnTo>
                  <a:pt x="672" y="769"/>
                </a:lnTo>
                <a:lnTo>
                  <a:pt x="652" y="788"/>
                </a:lnTo>
                <a:lnTo>
                  <a:pt x="631" y="805"/>
                </a:lnTo>
                <a:lnTo>
                  <a:pt x="606" y="819"/>
                </a:lnTo>
                <a:lnTo>
                  <a:pt x="581" y="832"/>
                </a:lnTo>
                <a:lnTo>
                  <a:pt x="554" y="843"/>
                </a:lnTo>
                <a:lnTo>
                  <a:pt x="526" y="852"/>
                </a:lnTo>
                <a:lnTo>
                  <a:pt x="497" y="859"/>
                </a:lnTo>
                <a:lnTo>
                  <a:pt x="466" y="864"/>
                </a:lnTo>
                <a:lnTo>
                  <a:pt x="434" y="868"/>
                </a:lnTo>
                <a:lnTo>
                  <a:pt x="402" y="870"/>
                </a:lnTo>
                <a:lnTo>
                  <a:pt x="349" y="867"/>
                </a:lnTo>
                <a:lnTo>
                  <a:pt x="299" y="860"/>
                </a:lnTo>
                <a:lnTo>
                  <a:pt x="255" y="848"/>
                </a:lnTo>
                <a:lnTo>
                  <a:pt x="213" y="832"/>
                </a:lnTo>
                <a:lnTo>
                  <a:pt x="174" y="812"/>
                </a:lnTo>
                <a:lnTo>
                  <a:pt x="140" y="788"/>
                </a:lnTo>
                <a:lnTo>
                  <a:pt x="108" y="758"/>
                </a:lnTo>
                <a:lnTo>
                  <a:pt x="81" y="726"/>
                </a:lnTo>
                <a:lnTo>
                  <a:pt x="61" y="697"/>
                </a:lnTo>
                <a:lnTo>
                  <a:pt x="45" y="666"/>
                </a:lnTo>
                <a:lnTo>
                  <a:pt x="31" y="632"/>
                </a:lnTo>
                <a:lnTo>
                  <a:pt x="20" y="597"/>
                </a:lnTo>
                <a:lnTo>
                  <a:pt x="11" y="561"/>
                </a:lnTo>
                <a:lnTo>
                  <a:pt x="4" y="522"/>
                </a:lnTo>
                <a:lnTo>
                  <a:pt x="0" y="482"/>
                </a:lnTo>
                <a:lnTo>
                  <a:pt x="0" y="440"/>
                </a:lnTo>
                <a:lnTo>
                  <a:pt x="2" y="389"/>
                </a:lnTo>
                <a:lnTo>
                  <a:pt x="6" y="342"/>
                </a:lnTo>
                <a:lnTo>
                  <a:pt x="15" y="297"/>
                </a:lnTo>
                <a:lnTo>
                  <a:pt x="26" y="256"/>
                </a:lnTo>
                <a:lnTo>
                  <a:pt x="41" y="217"/>
                </a:lnTo>
                <a:lnTo>
                  <a:pt x="60" y="181"/>
                </a:lnTo>
                <a:lnTo>
                  <a:pt x="81" y="147"/>
                </a:lnTo>
                <a:lnTo>
                  <a:pt x="107" y="117"/>
                </a:lnTo>
                <a:lnTo>
                  <a:pt x="134" y="89"/>
                </a:lnTo>
                <a:lnTo>
                  <a:pt x="163" y="65"/>
                </a:lnTo>
                <a:lnTo>
                  <a:pt x="196" y="45"/>
                </a:lnTo>
                <a:lnTo>
                  <a:pt x="229" y="29"/>
                </a:lnTo>
                <a:lnTo>
                  <a:pt x="263" y="17"/>
                </a:lnTo>
                <a:lnTo>
                  <a:pt x="301" y="7"/>
                </a:lnTo>
                <a:lnTo>
                  <a:pt x="338" y="2"/>
                </a:lnTo>
                <a:lnTo>
                  <a:pt x="380" y="0"/>
                </a:lnTo>
                <a:lnTo>
                  <a:pt x="425" y="2"/>
                </a:lnTo>
                <a:lnTo>
                  <a:pt x="468" y="7"/>
                </a:lnTo>
                <a:lnTo>
                  <a:pt x="508" y="18"/>
                </a:lnTo>
                <a:lnTo>
                  <a:pt x="546" y="31"/>
                </a:lnTo>
                <a:lnTo>
                  <a:pt x="581" y="49"/>
                </a:lnTo>
                <a:lnTo>
                  <a:pt x="613" y="69"/>
                </a:lnTo>
                <a:lnTo>
                  <a:pt x="643" y="95"/>
                </a:lnTo>
                <a:lnTo>
                  <a:pt x="671" y="124"/>
                </a:lnTo>
                <a:lnTo>
                  <a:pt x="695" y="156"/>
                </a:lnTo>
                <a:lnTo>
                  <a:pt x="718" y="193"/>
                </a:lnTo>
                <a:lnTo>
                  <a:pt x="736" y="233"/>
                </a:lnTo>
                <a:lnTo>
                  <a:pt x="750" y="277"/>
                </a:lnTo>
                <a:lnTo>
                  <a:pt x="761" y="326"/>
                </a:lnTo>
                <a:lnTo>
                  <a:pt x="768" y="379"/>
                </a:lnTo>
                <a:lnTo>
                  <a:pt x="772" y="436"/>
                </a:lnTo>
                <a:lnTo>
                  <a:pt x="773" y="498"/>
                </a:lnTo>
                <a:lnTo>
                  <a:pt x="749" y="498"/>
                </a:lnTo>
                <a:lnTo>
                  <a:pt x="687" y="498"/>
                </a:lnTo>
                <a:lnTo>
                  <a:pt x="600" y="498"/>
                </a:lnTo>
                <a:lnTo>
                  <a:pt x="499" y="498"/>
                </a:lnTo>
                <a:lnTo>
                  <a:pt x="398" y="498"/>
                </a:lnTo>
                <a:lnTo>
                  <a:pt x="310" y="498"/>
                </a:lnTo>
                <a:lnTo>
                  <a:pt x="248" y="498"/>
                </a:lnTo>
                <a:lnTo>
                  <a:pt x="225" y="498"/>
                </a:lnTo>
                <a:lnTo>
                  <a:pt x="225" y="520"/>
                </a:lnTo>
                <a:lnTo>
                  <a:pt x="229" y="542"/>
                </a:lnTo>
                <a:lnTo>
                  <a:pt x="233" y="563"/>
                </a:lnTo>
                <a:lnTo>
                  <a:pt x="239" y="584"/>
                </a:lnTo>
                <a:lnTo>
                  <a:pt x="245" y="601"/>
                </a:lnTo>
                <a:lnTo>
                  <a:pt x="255" y="619"/>
                </a:lnTo>
                <a:lnTo>
                  <a:pt x="266" y="635"/>
                </a:lnTo>
                <a:lnTo>
                  <a:pt x="278" y="649"/>
                </a:lnTo>
                <a:lnTo>
                  <a:pt x="290" y="662"/>
                </a:lnTo>
                <a:lnTo>
                  <a:pt x="303" y="672"/>
                </a:lnTo>
                <a:lnTo>
                  <a:pt x="318" y="682"/>
                </a:lnTo>
                <a:lnTo>
                  <a:pt x="334" y="690"/>
                </a:lnTo>
                <a:lnTo>
                  <a:pt x="350" y="695"/>
                </a:lnTo>
                <a:lnTo>
                  <a:pt x="367" y="699"/>
                </a:lnTo>
                <a:lnTo>
                  <a:pt x="385" y="702"/>
                </a:lnTo>
                <a:lnTo>
                  <a:pt x="404" y="703"/>
                </a:lnTo>
                <a:lnTo>
                  <a:pt x="416" y="702"/>
                </a:lnTo>
                <a:lnTo>
                  <a:pt x="429" y="701"/>
                </a:lnTo>
                <a:lnTo>
                  <a:pt x="439" y="699"/>
                </a:lnTo>
                <a:lnTo>
                  <a:pt x="450" y="695"/>
                </a:lnTo>
                <a:lnTo>
                  <a:pt x="461" y="691"/>
                </a:lnTo>
                <a:lnTo>
                  <a:pt x="470" y="687"/>
                </a:lnTo>
                <a:lnTo>
                  <a:pt x="481" y="680"/>
                </a:lnTo>
                <a:lnTo>
                  <a:pt x="490" y="675"/>
                </a:lnTo>
                <a:lnTo>
                  <a:pt x="499" y="667"/>
                </a:lnTo>
                <a:lnTo>
                  <a:pt x="507" y="659"/>
                </a:lnTo>
                <a:lnTo>
                  <a:pt x="515" y="649"/>
                </a:lnTo>
                <a:lnTo>
                  <a:pt x="521" y="639"/>
                </a:lnTo>
                <a:lnTo>
                  <a:pt x="527" y="627"/>
                </a:lnTo>
                <a:lnTo>
                  <a:pt x="534" y="613"/>
                </a:lnTo>
                <a:lnTo>
                  <a:pt x="538" y="600"/>
                </a:lnTo>
                <a:lnTo>
                  <a:pt x="543" y="585"/>
                </a:lnTo>
                <a:close/>
                <a:moveTo>
                  <a:pt x="556" y="363"/>
                </a:moveTo>
                <a:lnTo>
                  <a:pt x="555" y="339"/>
                </a:lnTo>
                <a:lnTo>
                  <a:pt x="552" y="318"/>
                </a:lnTo>
                <a:lnTo>
                  <a:pt x="548" y="297"/>
                </a:lnTo>
                <a:lnTo>
                  <a:pt x="543" y="279"/>
                </a:lnTo>
                <a:lnTo>
                  <a:pt x="535" y="261"/>
                </a:lnTo>
                <a:lnTo>
                  <a:pt x="527" y="245"/>
                </a:lnTo>
                <a:lnTo>
                  <a:pt x="517" y="230"/>
                </a:lnTo>
                <a:lnTo>
                  <a:pt x="507" y="218"/>
                </a:lnTo>
                <a:lnTo>
                  <a:pt x="495" y="206"/>
                </a:lnTo>
                <a:lnTo>
                  <a:pt x="481" y="195"/>
                </a:lnTo>
                <a:lnTo>
                  <a:pt x="469" y="187"/>
                </a:lnTo>
                <a:lnTo>
                  <a:pt x="454" y="181"/>
                </a:lnTo>
                <a:lnTo>
                  <a:pt x="441" y="175"/>
                </a:lnTo>
                <a:lnTo>
                  <a:pt x="425" y="171"/>
                </a:lnTo>
                <a:lnTo>
                  <a:pt x="410" y="168"/>
                </a:lnTo>
                <a:lnTo>
                  <a:pt x="394" y="168"/>
                </a:lnTo>
                <a:lnTo>
                  <a:pt x="375" y="168"/>
                </a:lnTo>
                <a:lnTo>
                  <a:pt x="359" y="171"/>
                </a:lnTo>
                <a:lnTo>
                  <a:pt x="342" y="175"/>
                </a:lnTo>
                <a:lnTo>
                  <a:pt x="328" y="181"/>
                </a:lnTo>
                <a:lnTo>
                  <a:pt x="313" y="189"/>
                </a:lnTo>
                <a:lnTo>
                  <a:pt x="299" y="197"/>
                </a:lnTo>
                <a:lnTo>
                  <a:pt x="287" y="207"/>
                </a:lnTo>
                <a:lnTo>
                  <a:pt x="275" y="221"/>
                </a:lnTo>
                <a:lnTo>
                  <a:pt x="263" y="234"/>
                </a:lnTo>
                <a:lnTo>
                  <a:pt x="253" y="249"/>
                </a:lnTo>
                <a:lnTo>
                  <a:pt x="245" y="265"/>
                </a:lnTo>
                <a:lnTo>
                  <a:pt x="239" y="281"/>
                </a:lnTo>
                <a:lnTo>
                  <a:pt x="235" y="300"/>
                </a:lnTo>
                <a:lnTo>
                  <a:pt x="231" y="320"/>
                </a:lnTo>
                <a:lnTo>
                  <a:pt x="228" y="340"/>
                </a:lnTo>
                <a:lnTo>
                  <a:pt x="228" y="363"/>
                </a:lnTo>
                <a:lnTo>
                  <a:pt x="241" y="363"/>
                </a:lnTo>
                <a:lnTo>
                  <a:pt x="279" y="363"/>
                </a:lnTo>
                <a:lnTo>
                  <a:pt x="332" y="363"/>
                </a:lnTo>
                <a:lnTo>
                  <a:pt x="392" y="363"/>
                </a:lnTo>
                <a:lnTo>
                  <a:pt x="451" y="363"/>
                </a:lnTo>
                <a:lnTo>
                  <a:pt x="504" y="363"/>
                </a:lnTo>
                <a:lnTo>
                  <a:pt x="542" y="363"/>
                </a:lnTo>
                <a:lnTo>
                  <a:pt x="556" y="36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5" name="Freeform 203">
            <a:extLst>
              <a:ext uri="{FF2B5EF4-FFF2-40B4-BE49-F238E27FC236}">
                <a16:creationId xmlns:a16="http://schemas.microsoft.com/office/drawing/2014/main" id="{00000000-0008-0000-0000-0000CB0C0000}"/>
              </a:ext>
            </a:extLst>
          </xdr:cNvPr>
          <xdr:cNvSpPr>
            <a:spLocks/>
          </xdr:cNvSpPr>
        </xdr:nvSpPr>
        <xdr:spPr bwMode="auto">
          <a:xfrm>
            <a:off x="5296" y="14187"/>
            <a:ext cx="110" cy="572"/>
          </a:xfrm>
          <a:custGeom>
            <a:avLst/>
            <a:gdLst/>
            <a:ahLst/>
            <a:cxnLst>
              <a:cxn ang="0">
                <a:pos x="0" y="1143"/>
              </a:cxn>
              <a:cxn ang="0">
                <a:pos x="0" y="1093"/>
              </a:cxn>
              <a:cxn ang="0">
                <a:pos x="0" y="964"/>
              </a:cxn>
              <a:cxn ang="0">
                <a:pos x="0" y="780"/>
              </a:cxn>
              <a:cxn ang="0">
                <a:pos x="0" y="571"/>
              </a:cxn>
              <a:cxn ang="0">
                <a:pos x="0" y="361"/>
              </a:cxn>
              <a:cxn ang="0">
                <a:pos x="0" y="177"/>
              </a:cxn>
              <a:cxn ang="0">
                <a:pos x="0" y="48"/>
              </a:cxn>
              <a:cxn ang="0">
                <a:pos x="0" y="0"/>
              </a:cxn>
              <a:cxn ang="0">
                <a:pos x="9" y="0"/>
              </a:cxn>
              <a:cxn ang="0">
                <a:pos x="33" y="0"/>
              </a:cxn>
              <a:cxn ang="0">
                <a:pos x="68" y="0"/>
              </a:cxn>
              <a:cxn ang="0">
                <a:pos x="109" y="0"/>
              </a:cxn>
              <a:cxn ang="0">
                <a:pos x="149" y="0"/>
              </a:cxn>
              <a:cxn ang="0">
                <a:pos x="184" y="0"/>
              </a:cxn>
              <a:cxn ang="0">
                <a:pos x="208" y="0"/>
              </a:cxn>
              <a:cxn ang="0">
                <a:pos x="219" y="0"/>
              </a:cxn>
              <a:cxn ang="0">
                <a:pos x="219" y="48"/>
              </a:cxn>
              <a:cxn ang="0">
                <a:pos x="219" y="177"/>
              </a:cxn>
              <a:cxn ang="0">
                <a:pos x="219" y="361"/>
              </a:cxn>
              <a:cxn ang="0">
                <a:pos x="219" y="571"/>
              </a:cxn>
              <a:cxn ang="0">
                <a:pos x="219" y="780"/>
              </a:cxn>
              <a:cxn ang="0">
                <a:pos x="219" y="964"/>
              </a:cxn>
              <a:cxn ang="0">
                <a:pos x="219" y="1093"/>
              </a:cxn>
              <a:cxn ang="0">
                <a:pos x="219" y="1143"/>
              </a:cxn>
              <a:cxn ang="0">
                <a:pos x="208" y="1143"/>
              </a:cxn>
              <a:cxn ang="0">
                <a:pos x="184" y="1143"/>
              </a:cxn>
              <a:cxn ang="0">
                <a:pos x="149" y="1143"/>
              </a:cxn>
              <a:cxn ang="0">
                <a:pos x="109" y="1143"/>
              </a:cxn>
              <a:cxn ang="0">
                <a:pos x="68" y="1143"/>
              </a:cxn>
              <a:cxn ang="0">
                <a:pos x="33" y="1143"/>
              </a:cxn>
              <a:cxn ang="0">
                <a:pos x="9" y="1143"/>
              </a:cxn>
              <a:cxn ang="0">
                <a:pos x="0" y="1143"/>
              </a:cxn>
            </a:cxnLst>
            <a:rect l="0" t="0" r="r" b="b"/>
            <a:pathLst>
              <a:path w="219" h="1143">
                <a:moveTo>
                  <a:pt x="0" y="1143"/>
                </a:moveTo>
                <a:lnTo>
                  <a:pt x="0" y="1093"/>
                </a:lnTo>
                <a:lnTo>
                  <a:pt x="0" y="964"/>
                </a:lnTo>
                <a:lnTo>
                  <a:pt x="0" y="780"/>
                </a:lnTo>
                <a:lnTo>
                  <a:pt x="0" y="571"/>
                </a:lnTo>
                <a:lnTo>
                  <a:pt x="0" y="361"/>
                </a:lnTo>
                <a:lnTo>
                  <a:pt x="0" y="177"/>
                </a:lnTo>
                <a:lnTo>
                  <a:pt x="0" y="48"/>
                </a:lnTo>
                <a:lnTo>
                  <a:pt x="0" y="0"/>
                </a:lnTo>
                <a:lnTo>
                  <a:pt x="9" y="0"/>
                </a:lnTo>
                <a:lnTo>
                  <a:pt x="33" y="0"/>
                </a:lnTo>
                <a:lnTo>
                  <a:pt x="68" y="0"/>
                </a:lnTo>
                <a:lnTo>
                  <a:pt x="109" y="0"/>
                </a:lnTo>
                <a:lnTo>
                  <a:pt x="149" y="0"/>
                </a:lnTo>
                <a:lnTo>
                  <a:pt x="184" y="0"/>
                </a:lnTo>
                <a:lnTo>
                  <a:pt x="208" y="0"/>
                </a:lnTo>
                <a:lnTo>
                  <a:pt x="219" y="0"/>
                </a:lnTo>
                <a:lnTo>
                  <a:pt x="219" y="48"/>
                </a:lnTo>
                <a:lnTo>
                  <a:pt x="219" y="177"/>
                </a:lnTo>
                <a:lnTo>
                  <a:pt x="219" y="361"/>
                </a:lnTo>
                <a:lnTo>
                  <a:pt x="219" y="571"/>
                </a:lnTo>
                <a:lnTo>
                  <a:pt x="219" y="780"/>
                </a:lnTo>
                <a:lnTo>
                  <a:pt x="219" y="964"/>
                </a:lnTo>
                <a:lnTo>
                  <a:pt x="219" y="1093"/>
                </a:lnTo>
                <a:lnTo>
                  <a:pt x="219" y="1143"/>
                </a:lnTo>
                <a:lnTo>
                  <a:pt x="208" y="1143"/>
                </a:lnTo>
                <a:lnTo>
                  <a:pt x="184" y="1143"/>
                </a:lnTo>
                <a:lnTo>
                  <a:pt x="149" y="1143"/>
                </a:lnTo>
                <a:lnTo>
                  <a:pt x="109" y="1143"/>
                </a:lnTo>
                <a:lnTo>
                  <a:pt x="68" y="1143"/>
                </a:lnTo>
                <a:lnTo>
                  <a:pt x="33" y="1143"/>
                </a:lnTo>
                <a:lnTo>
                  <a:pt x="9" y="1143"/>
                </a:lnTo>
                <a:lnTo>
                  <a:pt x="0" y="1143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6" name="Freeform 204">
            <a:extLst>
              <a:ext uri="{FF2B5EF4-FFF2-40B4-BE49-F238E27FC236}">
                <a16:creationId xmlns:a16="http://schemas.microsoft.com/office/drawing/2014/main" id="{00000000-0008-0000-0000-0000CC0C0000}"/>
              </a:ext>
            </a:extLst>
          </xdr:cNvPr>
          <xdr:cNvSpPr>
            <a:spLocks/>
          </xdr:cNvSpPr>
        </xdr:nvSpPr>
        <xdr:spPr bwMode="auto">
          <a:xfrm>
            <a:off x="4452" y="12857"/>
            <a:ext cx="810" cy="808"/>
          </a:xfrm>
          <a:custGeom>
            <a:avLst/>
            <a:gdLst/>
            <a:ahLst/>
            <a:cxnLst>
              <a:cxn ang="0">
                <a:pos x="198" y="871"/>
              </a:cxn>
              <a:cxn ang="0">
                <a:pos x="244" y="1047"/>
              </a:cxn>
              <a:cxn ang="0">
                <a:pos x="336" y="1199"/>
              </a:cxn>
              <a:cxn ang="0">
                <a:pos x="517" y="1349"/>
              </a:cxn>
              <a:cxn ang="0">
                <a:pos x="687" y="1413"/>
              </a:cxn>
              <a:cxn ang="0">
                <a:pos x="811" y="1425"/>
              </a:cxn>
              <a:cxn ang="0">
                <a:pos x="935" y="1413"/>
              </a:cxn>
              <a:cxn ang="0">
                <a:pos x="1156" y="1319"/>
              </a:cxn>
              <a:cxn ang="0">
                <a:pos x="1286" y="1199"/>
              </a:cxn>
              <a:cxn ang="0">
                <a:pos x="1400" y="991"/>
              </a:cxn>
              <a:cxn ang="0">
                <a:pos x="1424" y="871"/>
              </a:cxn>
              <a:cxn ang="0">
                <a:pos x="1424" y="745"/>
              </a:cxn>
              <a:cxn ang="0">
                <a:pos x="1400" y="625"/>
              </a:cxn>
              <a:cxn ang="0">
                <a:pos x="1286" y="417"/>
              </a:cxn>
              <a:cxn ang="0">
                <a:pos x="1156" y="297"/>
              </a:cxn>
              <a:cxn ang="0">
                <a:pos x="935" y="203"/>
              </a:cxn>
              <a:cxn ang="0">
                <a:pos x="811" y="191"/>
              </a:cxn>
              <a:cxn ang="0">
                <a:pos x="691" y="203"/>
              </a:cxn>
              <a:cxn ang="0">
                <a:pos x="526" y="262"/>
              </a:cxn>
              <a:cxn ang="0">
                <a:pos x="387" y="365"/>
              </a:cxn>
              <a:cxn ang="0">
                <a:pos x="280" y="500"/>
              </a:cxn>
              <a:cxn ang="0">
                <a:pos x="214" y="662"/>
              </a:cxn>
              <a:cxn ang="0">
                <a:pos x="197" y="780"/>
              </a:cxn>
              <a:cxn ang="0">
                <a:pos x="18" y="651"/>
              </a:cxn>
              <a:cxn ang="0">
                <a:pos x="78" y="469"/>
              </a:cxn>
              <a:cxn ang="0">
                <a:pos x="155" y="339"/>
              </a:cxn>
              <a:cxn ang="0">
                <a:pos x="253" y="225"/>
              </a:cxn>
              <a:cxn ang="0">
                <a:pos x="372" y="131"/>
              </a:cxn>
              <a:cxn ang="0">
                <a:pos x="542" y="46"/>
              </a:cxn>
              <a:cxn ang="0">
                <a:pos x="771" y="0"/>
              </a:cxn>
              <a:cxn ang="0">
                <a:pos x="974" y="15"/>
              </a:cxn>
              <a:cxn ang="0">
                <a:pos x="1198" y="97"/>
              </a:cxn>
              <a:cxn ang="0">
                <a:pos x="1327" y="185"/>
              </a:cxn>
              <a:cxn ang="0">
                <a:pos x="1436" y="295"/>
              </a:cxn>
              <a:cxn ang="0">
                <a:pos x="1558" y="495"/>
              </a:cxn>
              <a:cxn ang="0">
                <a:pos x="1612" y="686"/>
              </a:cxn>
              <a:cxn ang="0">
                <a:pos x="1620" y="850"/>
              </a:cxn>
              <a:cxn ang="0">
                <a:pos x="1572" y="1085"/>
              </a:cxn>
              <a:cxn ang="0">
                <a:pos x="1483" y="1258"/>
              </a:cxn>
              <a:cxn ang="0">
                <a:pos x="1385" y="1379"/>
              </a:cxn>
              <a:cxn ang="0">
                <a:pos x="1231" y="1499"/>
              </a:cxn>
              <a:cxn ang="0">
                <a:pos x="1013" y="1591"/>
              </a:cxn>
              <a:cxn ang="0">
                <a:pos x="853" y="1616"/>
              </a:cxn>
              <a:cxn ang="0">
                <a:pos x="648" y="1601"/>
              </a:cxn>
              <a:cxn ang="0">
                <a:pos x="425" y="1519"/>
              </a:cxn>
              <a:cxn ang="0">
                <a:pos x="297" y="1431"/>
              </a:cxn>
              <a:cxn ang="0">
                <a:pos x="186" y="1321"/>
              </a:cxn>
              <a:cxn ang="0">
                <a:pos x="81" y="1159"/>
              </a:cxn>
              <a:cxn ang="0">
                <a:pos x="18" y="972"/>
              </a:cxn>
              <a:cxn ang="0">
                <a:pos x="0" y="768"/>
              </a:cxn>
            </a:cxnLst>
            <a:rect l="0" t="0" r="r" b="b"/>
            <a:pathLst>
              <a:path w="1620" h="1616">
                <a:moveTo>
                  <a:pt x="196" y="778"/>
                </a:moveTo>
                <a:lnTo>
                  <a:pt x="198" y="871"/>
                </a:lnTo>
                <a:lnTo>
                  <a:pt x="208" y="932"/>
                </a:lnTo>
                <a:lnTo>
                  <a:pt x="244" y="1047"/>
                </a:lnTo>
                <a:lnTo>
                  <a:pt x="270" y="1101"/>
                </a:lnTo>
                <a:lnTo>
                  <a:pt x="336" y="1199"/>
                </a:lnTo>
                <a:lnTo>
                  <a:pt x="419" y="1282"/>
                </a:lnTo>
                <a:lnTo>
                  <a:pt x="517" y="1349"/>
                </a:lnTo>
                <a:lnTo>
                  <a:pt x="571" y="1376"/>
                </a:lnTo>
                <a:lnTo>
                  <a:pt x="687" y="1413"/>
                </a:lnTo>
                <a:lnTo>
                  <a:pt x="748" y="1422"/>
                </a:lnTo>
                <a:lnTo>
                  <a:pt x="811" y="1425"/>
                </a:lnTo>
                <a:lnTo>
                  <a:pt x="874" y="1422"/>
                </a:lnTo>
                <a:lnTo>
                  <a:pt x="935" y="1413"/>
                </a:lnTo>
                <a:lnTo>
                  <a:pt x="1051" y="1376"/>
                </a:lnTo>
                <a:lnTo>
                  <a:pt x="1156" y="1319"/>
                </a:lnTo>
                <a:lnTo>
                  <a:pt x="1246" y="1243"/>
                </a:lnTo>
                <a:lnTo>
                  <a:pt x="1286" y="1199"/>
                </a:lnTo>
                <a:lnTo>
                  <a:pt x="1352" y="1101"/>
                </a:lnTo>
                <a:lnTo>
                  <a:pt x="1400" y="991"/>
                </a:lnTo>
                <a:lnTo>
                  <a:pt x="1414" y="932"/>
                </a:lnTo>
                <a:lnTo>
                  <a:pt x="1424" y="871"/>
                </a:lnTo>
                <a:lnTo>
                  <a:pt x="1426" y="808"/>
                </a:lnTo>
                <a:lnTo>
                  <a:pt x="1424" y="745"/>
                </a:lnTo>
                <a:lnTo>
                  <a:pt x="1414" y="684"/>
                </a:lnTo>
                <a:lnTo>
                  <a:pt x="1400" y="625"/>
                </a:lnTo>
                <a:lnTo>
                  <a:pt x="1352" y="515"/>
                </a:lnTo>
                <a:lnTo>
                  <a:pt x="1286" y="417"/>
                </a:lnTo>
                <a:lnTo>
                  <a:pt x="1203" y="334"/>
                </a:lnTo>
                <a:lnTo>
                  <a:pt x="1156" y="297"/>
                </a:lnTo>
                <a:lnTo>
                  <a:pt x="1051" y="240"/>
                </a:lnTo>
                <a:lnTo>
                  <a:pt x="935" y="203"/>
                </a:lnTo>
                <a:lnTo>
                  <a:pt x="874" y="194"/>
                </a:lnTo>
                <a:lnTo>
                  <a:pt x="811" y="191"/>
                </a:lnTo>
                <a:lnTo>
                  <a:pt x="750" y="194"/>
                </a:lnTo>
                <a:lnTo>
                  <a:pt x="691" y="203"/>
                </a:lnTo>
                <a:lnTo>
                  <a:pt x="633" y="218"/>
                </a:lnTo>
                <a:lnTo>
                  <a:pt x="526" y="262"/>
                </a:lnTo>
                <a:lnTo>
                  <a:pt x="476" y="292"/>
                </a:lnTo>
                <a:lnTo>
                  <a:pt x="387" y="365"/>
                </a:lnTo>
                <a:lnTo>
                  <a:pt x="346" y="406"/>
                </a:lnTo>
                <a:lnTo>
                  <a:pt x="280" y="500"/>
                </a:lnTo>
                <a:lnTo>
                  <a:pt x="253" y="551"/>
                </a:lnTo>
                <a:lnTo>
                  <a:pt x="214" y="662"/>
                </a:lnTo>
                <a:lnTo>
                  <a:pt x="202" y="721"/>
                </a:lnTo>
                <a:lnTo>
                  <a:pt x="197" y="780"/>
                </a:lnTo>
                <a:lnTo>
                  <a:pt x="3" y="768"/>
                </a:lnTo>
                <a:lnTo>
                  <a:pt x="18" y="651"/>
                </a:lnTo>
                <a:lnTo>
                  <a:pt x="49" y="539"/>
                </a:lnTo>
                <a:lnTo>
                  <a:pt x="78" y="469"/>
                </a:lnTo>
                <a:lnTo>
                  <a:pt x="113" y="402"/>
                </a:lnTo>
                <a:lnTo>
                  <a:pt x="155" y="339"/>
                </a:lnTo>
                <a:lnTo>
                  <a:pt x="201" y="280"/>
                </a:lnTo>
                <a:lnTo>
                  <a:pt x="253" y="225"/>
                </a:lnTo>
                <a:lnTo>
                  <a:pt x="310" y="175"/>
                </a:lnTo>
                <a:lnTo>
                  <a:pt x="372" y="131"/>
                </a:lnTo>
                <a:lnTo>
                  <a:pt x="437" y="92"/>
                </a:lnTo>
                <a:lnTo>
                  <a:pt x="542" y="46"/>
                </a:lnTo>
                <a:lnTo>
                  <a:pt x="653" y="15"/>
                </a:lnTo>
                <a:lnTo>
                  <a:pt x="771" y="0"/>
                </a:lnTo>
                <a:lnTo>
                  <a:pt x="853" y="0"/>
                </a:lnTo>
                <a:lnTo>
                  <a:pt x="974" y="15"/>
                </a:lnTo>
                <a:lnTo>
                  <a:pt x="1090" y="49"/>
                </a:lnTo>
                <a:lnTo>
                  <a:pt x="1198" y="97"/>
                </a:lnTo>
                <a:lnTo>
                  <a:pt x="1264" y="137"/>
                </a:lnTo>
                <a:lnTo>
                  <a:pt x="1327" y="185"/>
                </a:lnTo>
                <a:lnTo>
                  <a:pt x="1385" y="237"/>
                </a:lnTo>
                <a:lnTo>
                  <a:pt x="1436" y="295"/>
                </a:lnTo>
                <a:lnTo>
                  <a:pt x="1505" y="390"/>
                </a:lnTo>
                <a:lnTo>
                  <a:pt x="1558" y="495"/>
                </a:lnTo>
                <a:lnTo>
                  <a:pt x="1596" y="606"/>
                </a:lnTo>
                <a:lnTo>
                  <a:pt x="1612" y="686"/>
                </a:lnTo>
                <a:lnTo>
                  <a:pt x="1620" y="766"/>
                </a:lnTo>
                <a:lnTo>
                  <a:pt x="1620" y="850"/>
                </a:lnTo>
                <a:lnTo>
                  <a:pt x="1606" y="971"/>
                </a:lnTo>
                <a:lnTo>
                  <a:pt x="1572" y="1085"/>
                </a:lnTo>
                <a:lnTo>
                  <a:pt x="1542" y="1157"/>
                </a:lnTo>
                <a:lnTo>
                  <a:pt x="1483" y="1258"/>
                </a:lnTo>
                <a:lnTo>
                  <a:pt x="1436" y="1321"/>
                </a:lnTo>
                <a:lnTo>
                  <a:pt x="1385" y="1379"/>
                </a:lnTo>
                <a:lnTo>
                  <a:pt x="1327" y="1431"/>
                </a:lnTo>
                <a:lnTo>
                  <a:pt x="1231" y="1499"/>
                </a:lnTo>
                <a:lnTo>
                  <a:pt x="1126" y="1552"/>
                </a:lnTo>
                <a:lnTo>
                  <a:pt x="1013" y="1591"/>
                </a:lnTo>
                <a:lnTo>
                  <a:pt x="935" y="1607"/>
                </a:lnTo>
                <a:lnTo>
                  <a:pt x="853" y="1616"/>
                </a:lnTo>
                <a:lnTo>
                  <a:pt x="769" y="1616"/>
                </a:lnTo>
                <a:lnTo>
                  <a:pt x="648" y="1601"/>
                </a:lnTo>
                <a:lnTo>
                  <a:pt x="532" y="1567"/>
                </a:lnTo>
                <a:lnTo>
                  <a:pt x="425" y="1519"/>
                </a:lnTo>
                <a:lnTo>
                  <a:pt x="359" y="1478"/>
                </a:lnTo>
                <a:lnTo>
                  <a:pt x="297" y="1431"/>
                </a:lnTo>
                <a:lnTo>
                  <a:pt x="239" y="1379"/>
                </a:lnTo>
                <a:lnTo>
                  <a:pt x="186" y="1321"/>
                </a:lnTo>
                <a:lnTo>
                  <a:pt x="140" y="1259"/>
                </a:lnTo>
                <a:lnTo>
                  <a:pt x="81" y="1159"/>
                </a:lnTo>
                <a:lnTo>
                  <a:pt x="38" y="1048"/>
                </a:lnTo>
                <a:lnTo>
                  <a:pt x="18" y="972"/>
                </a:lnTo>
                <a:lnTo>
                  <a:pt x="3" y="851"/>
                </a:lnTo>
                <a:lnTo>
                  <a:pt x="0" y="768"/>
                </a:lnTo>
                <a:lnTo>
                  <a:pt x="196" y="778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7" name="Freeform 205">
            <a:extLst>
              <a:ext uri="{FF2B5EF4-FFF2-40B4-BE49-F238E27FC236}">
                <a16:creationId xmlns:a16="http://schemas.microsoft.com/office/drawing/2014/main" id="{00000000-0008-0000-0000-0000CD0C0000}"/>
              </a:ext>
            </a:extLst>
          </xdr:cNvPr>
          <xdr:cNvSpPr>
            <a:spLocks/>
          </xdr:cNvSpPr>
        </xdr:nvSpPr>
        <xdr:spPr bwMode="auto">
          <a:xfrm>
            <a:off x="4276" y="12684"/>
            <a:ext cx="1163" cy="1152"/>
          </a:xfrm>
          <a:custGeom>
            <a:avLst/>
            <a:gdLst/>
            <a:ahLst/>
            <a:cxnLst>
              <a:cxn ang="0">
                <a:pos x="0" y="1212"/>
              </a:cxn>
              <a:cxn ang="0">
                <a:pos x="35" y="1440"/>
              </a:cxn>
              <a:cxn ang="0">
                <a:pos x="140" y="1702"/>
              </a:cxn>
              <a:cxn ang="0">
                <a:pos x="301" y="1928"/>
              </a:cxn>
              <a:cxn ang="0">
                <a:pos x="513" y="2109"/>
              </a:cxn>
              <a:cxn ang="0">
                <a:pos x="763" y="2236"/>
              </a:cxn>
              <a:cxn ang="0">
                <a:pos x="986" y="2292"/>
              </a:cxn>
              <a:cxn ang="0">
                <a:pos x="1223" y="2304"/>
              </a:cxn>
              <a:cxn ang="0">
                <a:pos x="1454" y="2269"/>
              </a:cxn>
              <a:cxn ang="0">
                <a:pos x="1767" y="2139"/>
              </a:cxn>
              <a:cxn ang="0">
                <a:pos x="1986" y="1968"/>
              </a:cxn>
              <a:cxn ang="0">
                <a:pos x="2159" y="1751"/>
              </a:cxn>
              <a:cxn ang="0">
                <a:pos x="2257" y="1549"/>
              </a:cxn>
              <a:cxn ang="0">
                <a:pos x="2313" y="1329"/>
              </a:cxn>
              <a:cxn ang="0">
                <a:pos x="2326" y="1094"/>
              </a:cxn>
              <a:cxn ang="0">
                <a:pos x="2291" y="864"/>
              </a:cxn>
              <a:cxn ang="0">
                <a:pos x="2187" y="603"/>
              </a:cxn>
              <a:cxn ang="0">
                <a:pos x="2024" y="377"/>
              </a:cxn>
              <a:cxn ang="0">
                <a:pos x="1860" y="228"/>
              </a:cxn>
              <a:cxn ang="0">
                <a:pos x="1668" y="113"/>
              </a:cxn>
              <a:cxn ang="0">
                <a:pos x="1454" y="35"/>
              </a:cxn>
              <a:cxn ang="0">
                <a:pos x="1223" y="0"/>
              </a:cxn>
              <a:cxn ang="0">
                <a:pos x="991" y="11"/>
              </a:cxn>
              <a:cxn ang="0">
                <a:pos x="773" y="66"/>
              </a:cxn>
              <a:cxn ang="0">
                <a:pos x="528" y="187"/>
              </a:cxn>
              <a:cxn ang="0">
                <a:pos x="283" y="400"/>
              </a:cxn>
              <a:cxn ang="0">
                <a:pos x="129" y="625"/>
              </a:cxn>
              <a:cxn ang="0">
                <a:pos x="47" y="827"/>
              </a:cxn>
              <a:cxn ang="0">
                <a:pos x="4" y="1048"/>
              </a:cxn>
              <a:cxn ang="0">
                <a:pos x="203" y="1107"/>
              </a:cxn>
              <a:cxn ang="0">
                <a:pos x="230" y="923"/>
              </a:cxn>
              <a:cxn ang="0">
                <a:pos x="334" y="673"/>
              </a:cxn>
              <a:cxn ang="0">
                <a:pos x="468" y="493"/>
              </a:cxn>
              <a:cxn ang="0">
                <a:pos x="679" y="326"/>
              </a:cxn>
              <a:cxn ang="0">
                <a:pos x="843" y="248"/>
              </a:cxn>
              <a:cxn ang="0">
                <a:pos x="1115" y="195"/>
              </a:cxn>
              <a:cxn ang="0">
                <a:pos x="1310" y="204"/>
              </a:cxn>
              <a:cxn ang="0">
                <a:pos x="1579" y="289"/>
              </a:cxn>
              <a:cxn ang="0">
                <a:pos x="1810" y="445"/>
              </a:cxn>
              <a:cxn ang="0">
                <a:pos x="1986" y="657"/>
              </a:cxn>
              <a:cxn ang="0">
                <a:pos x="2095" y="915"/>
              </a:cxn>
              <a:cxn ang="0">
                <a:pos x="2124" y="1104"/>
              </a:cxn>
              <a:cxn ang="0">
                <a:pos x="2114" y="1298"/>
              </a:cxn>
              <a:cxn ang="0">
                <a:pos x="2049" y="1525"/>
              </a:cxn>
              <a:cxn ang="0">
                <a:pos x="1905" y="1761"/>
              </a:cxn>
              <a:cxn ang="0">
                <a:pos x="1701" y="1947"/>
              </a:cxn>
              <a:cxn ang="0">
                <a:pos x="1449" y="2069"/>
              </a:cxn>
              <a:cxn ang="0">
                <a:pos x="1213" y="2111"/>
              </a:cxn>
              <a:cxn ang="0">
                <a:pos x="1017" y="2101"/>
              </a:cxn>
              <a:cxn ang="0">
                <a:pos x="747" y="2017"/>
              </a:cxn>
              <a:cxn ang="0">
                <a:pos x="517" y="1861"/>
              </a:cxn>
              <a:cxn ang="0">
                <a:pos x="341" y="1648"/>
              </a:cxn>
              <a:cxn ang="0">
                <a:pos x="231" y="1390"/>
              </a:cxn>
              <a:cxn ang="0">
                <a:pos x="203" y="1201"/>
              </a:cxn>
              <a:cxn ang="0">
                <a:pos x="0" y="1106"/>
              </a:cxn>
            </a:cxnLst>
            <a:rect l="0" t="0" r="r" b="b"/>
            <a:pathLst>
              <a:path w="2326" h="2304">
                <a:moveTo>
                  <a:pt x="0" y="1106"/>
                </a:moveTo>
                <a:lnTo>
                  <a:pt x="0" y="1212"/>
                </a:lnTo>
                <a:lnTo>
                  <a:pt x="12" y="1329"/>
                </a:lnTo>
                <a:lnTo>
                  <a:pt x="35" y="1440"/>
                </a:lnTo>
                <a:lnTo>
                  <a:pt x="90" y="1601"/>
                </a:lnTo>
                <a:lnTo>
                  <a:pt x="140" y="1702"/>
                </a:lnTo>
                <a:lnTo>
                  <a:pt x="198" y="1798"/>
                </a:lnTo>
                <a:lnTo>
                  <a:pt x="301" y="1928"/>
                </a:lnTo>
                <a:lnTo>
                  <a:pt x="423" y="2042"/>
                </a:lnTo>
                <a:lnTo>
                  <a:pt x="513" y="2109"/>
                </a:lnTo>
                <a:lnTo>
                  <a:pt x="658" y="2191"/>
                </a:lnTo>
                <a:lnTo>
                  <a:pt x="763" y="2236"/>
                </a:lnTo>
                <a:lnTo>
                  <a:pt x="872" y="2269"/>
                </a:lnTo>
                <a:lnTo>
                  <a:pt x="986" y="2292"/>
                </a:lnTo>
                <a:lnTo>
                  <a:pt x="1104" y="2304"/>
                </a:lnTo>
                <a:lnTo>
                  <a:pt x="1223" y="2304"/>
                </a:lnTo>
                <a:lnTo>
                  <a:pt x="1341" y="2292"/>
                </a:lnTo>
                <a:lnTo>
                  <a:pt x="1454" y="2269"/>
                </a:lnTo>
                <a:lnTo>
                  <a:pt x="1616" y="2215"/>
                </a:lnTo>
                <a:lnTo>
                  <a:pt x="1767" y="2139"/>
                </a:lnTo>
                <a:lnTo>
                  <a:pt x="1860" y="2077"/>
                </a:lnTo>
                <a:lnTo>
                  <a:pt x="1986" y="1968"/>
                </a:lnTo>
                <a:lnTo>
                  <a:pt x="2062" y="1886"/>
                </a:lnTo>
                <a:lnTo>
                  <a:pt x="2159" y="1751"/>
                </a:lnTo>
                <a:lnTo>
                  <a:pt x="2212" y="1652"/>
                </a:lnTo>
                <a:lnTo>
                  <a:pt x="2257" y="1549"/>
                </a:lnTo>
                <a:lnTo>
                  <a:pt x="2291" y="1440"/>
                </a:lnTo>
                <a:lnTo>
                  <a:pt x="2313" y="1329"/>
                </a:lnTo>
                <a:lnTo>
                  <a:pt x="2326" y="1212"/>
                </a:lnTo>
                <a:lnTo>
                  <a:pt x="2326" y="1094"/>
                </a:lnTo>
                <a:lnTo>
                  <a:pt x="2313" y="977"/>
                </a:lnTo>
                <a:lnTo>
                  <a:pt x="2291" y="864"/>
                </a:lnTo>
                <a:lnTo>
                  <a:pt x="2257" y="756"/>
                </a:lnTo>
                <a:lnTo>
                  <a:pt x="2187" y="603"/>
                </a:lnTo>
                <a:lnTo>
                  <a:pt x="2095" y="462"/>
                </a:lnTo>
                <a:lnTo>
                  <a:pt x="2024" y="377"/>
                </a:lnTo>
                <a:lnTo>
                  <a:pt x="1946" y="298"/>
                </a:lnTo>
                <a:lnTo>
                  <a:pt x="1860" y="228"/>
                </a:lnTo>
                <a:lnTo>
                  <a:pt x="1767" y="165"/>
                </a:lnTo>
                <a:lnTo>
                  <a:pt x="1668" y="113"/>
                </a:lnTo>
                <a:lnTo>
                  <a:pt x="1563" y="68"/>
                </a:lnTo>
                <a:lnTo>
                  <a:pt x="1454" y="35"/>
                </a:lnTo>
                <a:lnTo>
                  <a:pt x="1341" y="12"/>
                </a:lnTo>
                <a:lnTo>
                  <a:pt x="1223" y="0"/>
                </a:lnTo>
                <a:lnTo>
                  <a:pt x="1105" y="0"/>
                </a:lnTo>
                <a:lnTo>
                  <a:pt x="991" y="11"/>
                </a:lnTo>
                <a:lnTo>
                  <a:pt x="879" y="33"/>
                </a:lnTo>
                <a:lnTo>
                  <a:pt x="773" y="66"/>
                </a:lnTo>
                <a:lnTo>
                  <a:pt x="670" y="107"/>
                </a:lnTo>
                <a:lnTo>
                  <a:pt x="528" y="187"/>
                </a:lnTo>
                <a:lnTo>
                  <a:pt x="397" y="285"/>
                </a:lnTo>
                <a:lnTo>
                  <a:pt x="283" y="400"/>
                </a:lnTo>
                <a:lnTo>
                  <a:pt x="215" y="485"/>
                </a:lnTo>
                <a:lnTo>
                  <a:pt x="129" y="625"/>
                </a:lnTo>
                <a:lnTo>
                  <a:pt x="83" y="724"/>
                </a:lnTo>
                <a:lnTo>
                  <a:pt x="47" y="827"/>
                </a:lnTo>
                <a:lnTo>
                  <a:pt x="20" y="936"/>
                </a:lnTo>
                <a:lnTo>
                  <a:pt x="4" y="1048"/>
                </a:lnTo>
                <a:lnTo>
                  <a:pt x="0" y="1106"/>
                </a:lnTo>
                <a:lnTo>
                  <a:pt x="203" y="1107"/>
                </a:lnTo>
                <a:lnTo>
                  <a:pt x="213" y="1014"/>
                </a:lnTo>
                <a:lnTo>
                  <a:pt x="230" y="923"/>
                </a:lnTo>
                <a:lnTo>
                  <a:pt x="273" y="794"/>
                </a:lnTo>
                <a:lnTo>
                  <a:pt x="334" y="673"/>
                </a:lnTo>
                <a:lnTo>
                  <a:pt x="382" y="596"/>
                </a:lnTo>
                <a:lnTo>
                  <a:pt x="468" y="493"/>
                </a:lnTo>
                <a:lnTo>
                  <a:pt x="567" y="403"/>
                </a:lnTo>
                <a:lnTo>
                  <a:pt x="679" y="326"/>
                </a:lnTo>
                <a:lnTo>
                  <a:pt x="758" y="283"/>
                </a:lnTo>
                <a:lnTo>
                  <a:pt x="843" y="248"/>
                </a:lnTo>
                <a:lnTo>
                  <a:pt x="975" y="212"/>
                </a:lnTo>
                <a:lnTo>
                  <a:pt x="1115" y="195"/>
                </a:lnTo>
                <a:lnTo>
                  <a:pt x="1213" y="195"/>
                </a:lnTo>
                <a:lnTo>
                  <a:pt x="1310" y="204"/>
                </a:lnTo>
                <a:lnTo>
                  <a:pt x="1449" y="236"/>
                </a:lnTo>
                <a:lnTo>
                  <a:pt x="1579" y="289"/>
                </a:lnTo>
                <a:lnTo>
                  <a:pt x="1701" y="359"/>
                </a:lnTo>
                <a:lnTo>
                  <a:pt x="1810" y="445"/>
                </a:lnTo>
                <a:lnTo>
                  <a:pt x="1905" y="544"/>
                </a:lnTo>
                <a:lnTo>
                  <a:pt x="1986" y="657"/>
                </a:lnTo>
                <a:lnTo>
                  <a:pt x="2049" y="780"/>
                </a:lnTo>
                <a:lnTo>
                  <a:pt x="2095" y="915"/>
                </a:lnTo>
                <a:lnTo>
                  <a:pt x="2114" y="1008"/>
                </a:lnTo>
                <a:lnTo>
                  <a:pt x="2124" y="1104"/>
                </a:lnTo>
                <a:lnTo>
                  <a:pt x="2124" y="1201"/>
                </a:lnTo>
                <a:lnTo>
                  <a:pt x="2114" y="1298"/>
                </a:lnTo>
                <a:lnTo>
                  <a:pt x="2095" y="1390"/>
                </a:lnTo>
                <a:lnTo>
                  <a:pt x="2049" y="1525"/>
                </a:lnTo>
                <a:lnTo>
                  <a:pt x="1986" y="1648"/>
                </a:lnTo>
                <a:lnTo>
                  <a:pt x="1905" y="1761"/>
                </a:lnTo>
                <a:lnTo>
                  <a:pt x="1810" y="1861"/>
                </a:lnTo>
                <a:lnTo>
                  <a:pt x="1701" y="1947"/>
                </a:lnTo>
                <a:lnTo>
                  <a:pt x="1579" y="2017"/>
                </a:lnTo>
                <a:lnTo>
                  <a:pt x="1449" y="2069"/>
                </a:lnTo>
                <a:lnTo>
                  <a:pt x="1310" y="2101"/>
                </a:lnTo>
                <a:lnTo>
                  <a:pt x="1213" y="2111"/>
                </a:lnTo>
                <a:lnTo>
                  <a:pt x="1114" y="2111"/>
                </a:lnTo>
                <a:lnTo>
                  <a:pt x="1017" y="2101"/>
                </a:lnTo>
                <a:lnTo>
                  <a:pt x="878" y="2069"/>
                </a:lnTo>
                <a:lnTo>
                  <a:pt x="747" y="2017"/>
                </a:lnTo>
                <a:lnTo>
                  <a:pt x="626" y="1947"/>
                </a:lnTo>
                <a:lnTo>
                  <a:pt x="517" y="1861"/>
                </a:lnTo>
                <a:lnTo>
                  <a:pt x="421" y="1761"/>
                </a:lnTo>
                <a:lnTo>
                  <a:pt x="341" y="1648"/>
                </a:lnTo>
                <a:lnTo>
                  <a:pt x="277" y="1525"/>
                </a:lnTo>
                <a:lnTo>
                  <a:pt x="231" y="1390"/>
                </a:lnTo>
                <a:lnTo>
                  <a:pt x="213" y="1298"/>
                </a:lnTo>
                <a:lnTo>
                  <a:pt x="203" y="1201"/>
                </a:lnTo>
                <a:lnTo>
                  <a:pt x="203" y="1108"/>
                </a:lnTo>
                <a:lnTo>
                  <a:pt x="0" y="1106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8" name="Freeform 206">
            <a:extLst>
              <a:ext uri="{FF2B5EF4-FFF2-40B4-BE49-F238E27FC236}">
                <a16:creationId xmlns:a16="http://schemas.microsoft.com/office/drawing/2014/main" id="{00000000-0008-0000-0000-0000CE0C0000}"/>
              </a:ext>
            </a:extLst>
          </xdr:cNvPr>
          <xdr:cNvSpPr>
            <a:spLocks/>
          </xdr:cNvSpPr>
        </xdr:nvSpPr>
        <xdr:spPr bwMode="auto">
          <a:xfrm>
            <a:off x="3058" y="12707"/>
            <a:ext cx="1123" cy="1104"/>
          </a:xfrm>
          <a:custGeom>
            <a:avLst/>
            <a:gdLst/>
            <a:ahLst/>
            <a:cxnLst>
              <a:cxn ang="0">
                <a:pos x="348" y="1165"/>
              </a:cxn>
              <a:cxn ang="0">
                <a:pos x="349" y="2044"/>
              </a:cxn>
              <a:cxn ang="0">
                <a:pos x="480" y="2044"/>
              </a:cxn>
              <a:cxn ang="0">
                <a:pos x="478" y="292"/>
              </a:cxn>
              <a:cxn ang="0">
                <a:pos x="1705" y="2046"/>
              </a:cxn>
              <a:cxn ang="0">
                <a:pos x="1903" y="2046"/>
              </a:cxn>
              <a:cxn ang="0">
                <a:pos x="1903" y="164"/>
              </a:cxn>
              <a:cxn ang="0">
                <a:pos x="1773" y="164"/>
              </a:cxn>
              <a:cxn ang="0">
                <a:pos x="1773" y="1917"/>
              </a:cxn>
              <a:cxn ang="0">
                <a:pos x="548" y="164"/>
              </a:cxn>
              <a:cxn ang="0">
                <a:pos x="348" y="166"/>
              </a:cxn>
              <a:cxn ang="0">
                <a:pos x="348" y="1165"/>
              </a:cxn>
              <a:cxn ang="0">
                <a:pos x="136" y="1192"/>
              </a:cxn>
              <a:cxn ang="0">
                <a:pos x="136" y="151"/>
              </a:cxn>
              <a:cxn ang="0">
                <a:pos x="127" y="121"/>
              </a:cxn>
              <a:cxn ang="0">
                <a:pos x="108" y="89"/>
              </a:cxn>
              <a:cxn ang="0">
                <a:pos x="81" y="57"/>
              </a:cxn>
              <a:cxn ang="0">
                <a:pos x="26" y="13"/>
              </a:cxn>
              <a:cxn ang="0">
                <a:pos x="3" y="0"/>
              </a:cxn>
              <a:cxn ang="0">
                <a:pos x="690" y="0"/>
              </a:cxn>
              <a:cxn ang="0">
                <a:pos x="1560" y="1249"/>
              </a:cxn>
              <a:cxn ang="0">
                <a:pos x="1568" y="1285"/>
              </a:cxn>
              <a:cxn ang="0">
                <a:pos x="1567" y="150"/>
              </a:cxn>
              <a:cxn ang="0">
                <a:pos x="1567" y="151"/>
              </a:cxn>
              <a:cxn ang="0">
                <a:pos x="1558" y="120"/>
              </a:cxn>
              <a:cxn ang="0">
                <a:pos x="1525" y="72"/>
              </a:cxn>
              <a:cxn ang="0">
                <a:pos x="1476" y="29"/>
              </a:cxn>
              <a:cxn ang="0">
                <a:pos x="1429" y="2"/>
              </a:cxn>
              <a:cxn ang="0">
                <a:pos x="2247" y="2"/>
              </a:cxn>
              <a:cxn ang="0">
                <a:pos x="2170" y="56"/>
              </a:cxn>
              <a:cxn ang="0">
                <a:pos x="2131" y="103"/>
              </a:cxn>
              <a:cxn ang="0">
                <a:pos x="2116" y="133"/>
              </a:cxn>
              <a:cxn ang="0">
                <a:pos x="2113" y="148"/>
              </a:cxn>
              <a:cxn ang="0">
                <a:pos x="2113" y="2209"/>
              </a:cxn>
              <a:cxn ang="0">
                <a:pos x="1568" y="2209"/>
              </a:cxn>
              <a:cxn ang="0">
                <a:pos x="693" y="954"/>
              </a:cxn>
              <a:cxn ang="0">
                <a:pos x="684" y="925"/>
              </a:cxn>
              <a:cxn ang="0">
                <a:pos x="684" y="2060"/>
              </a:cxn>
              <a:cxn ang="0">
                <a:pos x="684" y="2059"/>
              </a:cxn>
              <a:cxn ang="0">
                <a:pos x="693" y="2090"/>
              </a:cxn>
              <a:cxn ang="0">
                <a:pos x="726" y="2138"/>
              </a:cxn>
              <a:cxn ang="0">
                <a:pos x="775" y="2183"/>
              </a:cxn>
              <a:cxn ang="0">
                <a:pos x="820" y="2209"/>
              </a:cxn>
              <a:cxn ang="0">
                <a:pos x="0" y="2209"/>
              </a:cxn>
              <a:cxn ang="0">
                <a:pos x="46" y="2181"/>
              </a:cxn>
              <a:cxn ang="0">
                <a:pos x="80" y="2154"/>
              </a:cxn>
              <a:cxn ang="0">
                <a:pos x="119" y="2107"/>
              </a:cxn>
              <a:cxn ang="0">
                <a:pos x="134" y="2076"/>
              </a:cxn>
              <a:cxn ang="0">
                <a:pos x="136" y="2062"/>
              </a:cxn>
              <a:cxn ang="0">
                <a:pos x="136" y="1192"/>
              </a:cxn>
              <a:cxn ang="0">
                <a:pos x="348" y="1165"/>
              </a:cxn>
            </a:cxnLst>
            <a:rect l="0" t="0" r="r" b="b"/>
            <a:pathLst>
              <a:path w="2247" h="2209">
                <a:moveTo>
                  <a:pt x="348" y="1165"/>
                </a:moveTo>
                <a:lnTo>
                  <a:pt x="349" y="2044"/>
                </a:lnTo>
                <a:lnTo>
                  <a:pt x="480" y="2044"/>
                </a:lnTo>
                <a:lnTo>
                  <a:pt x="478" y="292"/>
                </a:lnTo>
                <a:lnTo>
                  <a:pt x="1705" y="2046"/>
                </a:lnTo>
                <a:lnTo>
                  <a:pt x="1903" y="2046"/>
                </a:lnTo>
                <a:lnTo>
                  <a:pt x="1903" y="164"/>
                </a:lnTo>
                <a:lnTo>
                  <a:pt x="1773" y="164"/>
                </a:lnTo>
                <a:lnTo>
                  <a:pt x="1773" y="1917"/>
                </a:lnTo>
                <a:lnTo>
                  <a:pt x="548" y="164"/>
                </a:lnTo>
                <a:lnTo>
                  <a:pt x="348" y="166"/>
                </a:lnTo>
                <a:lnTo>
                  <a:pt x="348" y="1165"/>
                </a:lnTo>
                <a:lnTo>
                  <a:pt x="136" y="1192"/>
                </a:lnTo>
                <a:lnTo>
                  <a:pt x="136" y="151"/>
                </a:lnTo>
                <a:lnTo>
                  <a:pt x="127" y="121"/>
                </a:lnTo>
                <a:lnTo>
                  <a:pt x="108" y="89"/>
                </a:lnTo>
                <a:lnTo>
                  <a:pt x="81" y="57"/>
                </a:lnTo>
                <a:lnTo>
                  <a:pt x="26" y="13"/>
                </a:lnTo>
                <a:lnTo>
                  <a:pt x="3" y="0"/>
                </a:lnTo>
                <a:lnTo>
                  <a:pt x="690" y="0"/>
                </a:lnTo>
                <a:lnTo>
                  <a:pt x="1560" y="1249"/>
                </a:lnTo>
                <a:lnTo>
                  <a:pt x="1568" y="1285"/>
                </a:lnTo>
                <a:lnTo>
                  <a:pt x="1567" y="150"/>
                </a:lnTo>
                <a:lnTo>
                  <a:pt x="1567" y="151"/>
                </a:lnTo>
                <a:lnTo>
                  <a:pt x="1558" y="120"/>
                </a:lnTo>
                <a:lnTo>
                  <a:pt x="1525" y="72"/>
                </a:lnTo>
                <a:lnTo>
                  <a:pt x="1476" y="29"/>
                </a:lnTo>
                <a:lnTo>
                  <a:pt x="1429" y="2"/>
                </a:lnTo>
                <a:lnTo>
                  <a:pt x="2247" y="2"/>
                </a:lnTo>
                <a:lnTo>
                  <a:pt x="2170" y="56"/>
                </a:lnTo>
                <a:lnTo>
                  <a:pt x="2131" y="103"/>
                </a:lnTo>
                <a:lnTo>
                  <a:pt x="2116" y="133"/>
                </a:lnTo>
                <a:lnTo>
                  <a:pt x="2113" y="148"/>
                </a:lnTo>
                <a:lnTo>
                  <a:pt x="2113" y="2209"/>
                </a:lnTo>
                <a:lnTo>
                  <a:pt x="1568" y="2209"/>
                </a:lnTo>
                <a:lnTo>
                  <a:pt x="693" y="954"/>
                </a:lnTo>
                <a:lnTo>
                  <a:pt x="684" y="925"/>
                </a:lnTo>
                <a:lnTo>
                  <a:pt x="684" y="2060"/>
                </a:lnTo>
                <a:lnTo>
                  <a:pt x="684" y="2059"/>
                </a:lnTo>
                <a:lnTo>
                  <a:pt x="693" y="2090"/>
                </a:lnTo>
                <a:lnTo>
                  <a:pt x="726" y="2138"/>
                </a:lnTo>
                <a:lnTo>
                  <a:pt x="775" y="2183"/>
                </a:lnTo>
                <a:lnTo>
                  <a:pt x="820" y="2209"/>
                </a:lnTo>
                <a:lnTo>
                  <a:pt x="0" y="2209"/>
                </a:lnTo>
                <a:lnTo>
                  <a:pt x="46" y="2181"/>
                </a:lnTo>
                <a:lnTo>
                  <a:pt x="80" y="2154"/>
                </a:lnTo>
                <a:lnTo>
                  <a:pt x="119" y="2107"/>
                </a:lnTo>
                <a:lnTo>
                  <a:pt x="134" y="2076"/>
                </a:lnTo>
                <a:lnTo>
                  <a:pt x="136" y="2062"/>
                </a:lnTo>
                <a:lnTo>
                  <a:pt x="136" y="1192"/>
                </a:lnTo>
                <a:lnTo>
                  <a:pt x="348" y="1165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79" name="Freeform 207">
            <a:extLst>
              <a:ext uri="{FF2B5EF4-FFF2-40B4-BE49-F238E27FC236}">
                <a16:creationId xmlns:a16="http://schemas.microsoft.com/office/drawing/2014/main" id="{00000000-0008-0000-0000-0000CF0C0000}"/>
              </a:ext>
            </a:extLst>
          </xdr:cNvPr>
          <xdr:cNvSpPr>
            <a:spLocks/>
          </xdr:cNvSpPr>
        </xdr:nvSpPr>
        <xdr:spPr bwMode="auto">
          <a:xfrm>
            <a:off x="1961" y="12707"/>
            <a:ext cx="1031" cy="1104"/>
          </a:xfrm>
          <a:custGeom>
            <a:avLst/>
            <a:gdLst/>
            <a:ahLst/>
            <a:cxnLst>
              <a:cxn ang="0">
                <a:pos x="1301" y="1234"/>
              </a:cxn>
              <a:cxn ang="0">
                <a:pos x="1301" y="2059"/>
              </a:cxn>
              <a:cxn ang="0">
                <a:pos x="1309" y="2090"/>
              </a:cxn>
              <a:cxn ang="0">
                <a:pos x="1329" y="2122"/>
              </a:cxn>
              <a:cxn ang="0">
                <a:pos x="1357" y="2154"/>
              </a:cxn>
              <a:cxn ang="0">
                <a:pos x="1415" y="2197"/>
              </a:cxn>
              <a:cxn ang="0">
                <a:pos x="1438" y="2209"/>
              </a:cxn>
              <a:cxn ang="0">
                <a:pos x="617" y="2209"/>
              </a:cxn>
              <a:cxn ang="0">
                <a:pos x="662" y="2181"/>
              </a:cxn>
              <a:cxn ang="0">
                <a:pos x="711" y="2138"/>
              </a:cxn>
              <a:cxn ang="0">
                <a:pos x="743" y="2091"/>
              </a:cxn>
              <a:cxn ang="0">
                <a:pos x="753" y="2062"/>
              </a:cxn>
              <a:cxn ang="0">
                <a:pos x="753" y="1500"/>
              </a:cxn>
              <a:cxn ang="0">
                <a:pos x="961" y="1507"/>
              </a:cxn>
              <a:cxn ang="0">
                <a:pos x="961" y="2043"/>
              </a:cxn>
              <a:cxn ang="0">
                <a:pos x="1092" y="2043"/>
              </a:cxn>
              <a:cxn ang="0">
                <a:pos x="1092" y="1180"/>
              </a:cxn>
              <a:cxn ang="0">
                <a:pos x="1659" y="181"/>
              </a:cxn>
              <a:cxn ang="0">
                <a:pos x="1677" y="166"/>
              </a:cxn>
              <a:cxn ang="0">
                <a:pos x="1519" y="166"/>
              </a:cxn>
              <a:cxn ang="0">
                <a:pos x="1027" y="1031"/>
              </a:cxn>
              <a:cxn ang="0">
                <a:pos x="536" y="166"/>
              </a:cxn>
              <a:cxn ang="0">
                <a:pos x="381" y="166"/>
              </a:cxn>
              <a:cxn ang="0">
                <a:pos x="400" y="187"/>
              </a:cxn>
              <a:cxn ang="0">
                <a:pos x="961" y="1180"/>
              </a:cxn>
              <a:cxn ang="0">
                <a:pos x="961" y="1507"/>
              </a:cxn>
              <a:cxn ang="0">
                <a:pos x="753" y="1500"/>
              </a:cxn>
              <a:cxn ang="0">
                <a:pos x="751" y="1233"/>
              </a:cxn>
              <a:cxn ang="0">
                <a:pos x="131" y="140"/>
              </a:cxn>
              <a:cxn ang="0">
                <a:pos x="81" y="77"/>
              </a:cxn>
              <a:cxn ang="0">
                <a:pos x="0" y="0"/>
              </a:cxn>
              <a:cxn ang="0">
                <a:pos x="685" y="0"/>
              </a:cxn>
              <a:cxn ang="0">
                <a:pos x="1022" y="596"/>
              </a:cxn>
              <a:cxn ang="0">
                <a:pos x="1029" y="625"/>
              </a:cxn>
              <a:cxn ang="0">
                <a:pos x="1036" y="596"/>
              </a:cxn>
              <a:cxn ang="0">
                <a:pos x="1374" y="0"/>
              </a:cxn>
              <a:cxn ang="0">
                <a:pos x="2060" y="0"/>
              </a:cxn>
              <a:cxn ang="0">
                <a:pos x="2004" y="52"/>
              </a:cxn>
              <a:cxn ang="0">
                <a:pos x="1930" y="140"/>
              </a:cxn>
              <a:cxn ang="0">
                <a:pos x="1301" y="1234"/>
              </a:cxn>
            </a:cxnLst>
            <a:rect l="0" t="0" r="r" b="b"/>
            <a:pathLst>
              <a:path w="2060" h="2209">
                <a:moveTo>
                  <a:pt x="1301" y="1234"/>
                </a:moveTo>
                <a:lnTo>
                  <a:pt x="1301" y="2059"/>
                </a:lnTo>
                <a:lnTo>
                  <a:pt x="1309" y="2090"/>
                </a:lnTo>
                <a:lnTo>
                  <a:pt x="1329" y="2122"/>
                </a:lnTo>
                <a:lnTo>
                  <a:pt x="1357" y="2154"/>
                </a:lnTo>
                <a:lnTo>
                  <a:pt x="1415" y="2197"/>
                </a:lnTo>
                <a:lnTo>
                  <a:pt x="1438" y="2209"/>
                </a:lnTo>
                <a:lnTo>
                  <a:pt x="617" y="2209"/>
                </a:lnTo>
                <a:lnTo>
                  <a:pt x="662" y="2181"/>
                </a:lnTo>
                <a:lnTo>
                  <a:pt x="711" y="2138"/>
                </a:lnTo>
                <a:lnTo>
                  <a:pt x="743" y="2091"/>
                </a:lnTo>
                <a:lnTo>
                  <a:pt x="753" y="2062"/>
                </a:lnTo>
                <a:lnTo>
                  <a:pt x="753" y="1500"/>
                </a:lnTo>
                <a:lnTo>
                  <a:pt x="961" y="1507"/>
                </a:lnTo>
                <a:lnTo>
                  <a:pt x="961" y="2043"/>
                </a:lnTo>
                <a:lnTo>
                  <a:pt x="1092" y="2043"/>
                </a:lnTo>
                <a:lnTo>
                  <a:pt x="1092" y="1180"/>
                </a:lnTo>
                <a:lnTo>
                  <a:pt x="1659" y="181"/>
                </a:lnTo>
                <a:lnTo>
                  <a:pt x="1677" y="166"/>
                </a:lnTo>
                <a:lnTo>
                  <a:pt x="1519" y="166"/>
                </a:lnTo>
                <a:lnTo>
                  <a:pt x="1027" y="1031"/>
                </a:lnTo>
                <a:lnTo>
                  <a:pt x="536" y="166"/>
                </a:lnTo>
                <a:lnTo>
                  <a:pt x="381" y="166"/>
                </a:lnTo>
                <a:lnTo>
                  <a:pt x="400" y="187"/>
                </a:lnTo>
                <a:lnTo>
                  <a:pt x="961" y="1180"/>
                </a:lnTo>
                <a:lnTo>
                  <a:pt x="961" y="1507"/>
                </a:lnTo>
                <a:lnTo>
                  <a:pt x="753" y="1500"/>
                </a:lnTo>
                <a:lnTo>
                  <a:pt x="751" y="1233"/>
                </a:lnTo>
                <a:lnTo>
                  <a:pt x="131" y="140"/>
                </a:lnTo>
                <a:lnTo>
                  <a:pt x="81" y="77"/>
                </a:lnTo>
                <a:lnTo>
                  <a:pt x="0" y="0"/>
                </a:lnTo>
                <a:lnTo>
                  <a:pt x="685" y="0"/>
                </a:lnTo>
                <a:lnTo>
                  <a:pt x="1022" y="596"/>
                </a:lnTo>
                <a:lnTo>
                  <a:pt x="1029" y="625"/>
                </a:lnTo>
                <a:lnTo>
                  <a:pt x="1036" y="596"/>
                </a:lnTo>
                <a:lnTo>
                  <a:pt x="1374" y="0"/>
                </a:lnTo>
                <a:lnTo>
                  <a:pt x="2060" y="0"/>
                </a:lnTo>
                <a:lnTo>
                  <a:pt x="2004" y="52"/>
                </a:lnTo>
                <a:lnTo>
                  <a:pt x="1930" y="140"/>
                </a:lnTo>
                <a:lnTo>
                  <a:pt x="1301" y="1234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80" name="Freeform 208">
            <a:extLst>
              <a:ext uri="{FF2B5EF4-FFF2-40B4-BE49-F238E27FC236}">
                <a16:creationId xmlns:a16="http://schemas.microsoft.com/office/drawing/2014/main" id="{00000000-0008-0000-0000-0000D00C0000}"/>
              </a:ext>
            </a:extLst>
          </xdr:cNvPr>
          <xdr:cNvSpPr>
            <a:spLocks/>
          </xdr:cNvSpPr>
        </xdr:nvSpPr>
        <xdr:spPr bwMode="auto">
          <a:xfrm>
            <a:off x="978" y="12706"/>
            <a:ext cx="1017" cy="1105"/>
          </a:xfrm>
          <a:custGeom>
            <a:avLst/>
            <a:gdLst/>
            <a:ahLst/>
            <a:cxnLst>
              <a:cxn ang="0">
                <a:pos x="120" y="2077"/>
              </a:cxn>
              <a:cxn ang="0">
                <a:pos x="95" y="2135"/>
              </a:cxn>
              <a:cxn ang="0">
                <a:pos x="21" y="2205"/>
              </a:cxn>
              <a:cxn ang="0">
                <a:pos x="897" y="2210"/>
              </a:cxn>
              <a:cxn ang="0">
                <a:pos x="1173" y="2185"/>
              </a:cxn>
              <a:cxn ang="0">
                <a:pos x="1386" y="2118"/>
              </a:cxn>
              <a:cxn ang="0">
                <a:pos x="1614" y="1981"/>
              </a:cxn>
              <a:cxn ang="0">
                <a:pos x="1798" y="1793"/>
              </a:cxn>
              <a:cxn ang="0">
                <a:pos x="1933" y="1565"/>
              </a:cxn>
              <a:cxn ang="0">
                <a:pos x="2014" y="1307"/>
              </a:cxn>
              <a:cxn ang="0">
                <a:pos x="2035" y="1032"/>
              </a:cxn>
              <a:cxn ang="0">
                <a:pos x="2010" y="818"/>
              </a:cxn>
              <a:cxn ang="0">
                <a:pos x="1926" y="575"/>
              </a:cxn>
              <a:cxn ang="0">
                <a:pos x="1787" y="363"/>
              </a:cxn>
              <a:cxn ang="0">
                <a:pos x="1599" y="194"/>
              </a:cxn>
              <a:cxn ang="0">
                <a:pos x="1413" y="91"/>
              </a:cxn>
              <a:cxn ang="0">
                <a:pos x="1198" y="26"/>
              </a:cxn>
              <a:cxn ang="0">
                <a:pos x="938" y="0"/>
              </a:cxn>
              <a:cxn ang="0">
                <a:pos x="2" y="5"/>
              </a:cxn>
              <a:cxn ang="0">
                <a:pos x="103" y="97"/>
              </a:cxn>
              <a:cxn ang="0">
                <a:pos x="120" y="147"/>
              </a:cxn>
              <a:cxn ang="0">
                <a:pos x="332" y="1176"/>
              </a:cxn>
              <a:cxn ang="0">
                <a:pos x="1001" y="200"/>
              </a:cxn>
              <a:cxn ang="0">
                <a:pos x="1239" y="243"/>
              </a:cxn>
              <a:cxn ang="0">
                <a:pos x="1427" y="325"/>
              </a:cxn>
              <a:cxn ang="0">
                <a:pos x="1571" y="435"/>
              </a:cxn>
              <a:cxn ang="0">
                <a:pos x="1716" y="636"/>
              </a:cxn>
              <a:cxn ang="0">
                <a:pos x="1793" y="847"/>
              </a:cxn>
              <a:cxn ang="0">
                <a:pos x="1818" y="1035"/>
              </a:cxn>
              <a:cxn ang="0">
                <a:pos x="1809" y="1227"/>
              </a:cxn>
              <a:cxn ang="0">
                <a:pos x="1752" y="1447"/>
              </a:cxn>
              <a:cxn ang="0">
                <a:pos x="1623" y="1677"/>
              </a:cxn>
              <a:cxn ang="0">
                <a:pos x="1435" y="1857"/>
              </a:cxn>
              <a:cxn ang="0">
                <a:pos x="1191" y="1973"/>
              </a:cxn>
              <a:cxn ang="0">
                <a:pos x="951" y="2010"/>
              </a:cxn>
              <a:cxn ang="0">
                <a:pos x="332" y="1176"/>
              </a:cxn>
            </a:cxnLst>
            <a:rect l="0" t="0" r="r" b="b"/>
            <a:pathLst>
              <a:path w="2035" h="2210">
                <a:moveTo>
                  <a:pt x="120" y="1176"/>
                </a:moveTo>
                <a:lnTo>
                  <a:pt x="120" y="2077"/>
                </a:lnTo>
                <a:lnTo>
                  <a:pt x="118" y="2096"/>
                </a:lnTo>
                <a:lnTo>
                  <a:pt x="95" y="2135"/>
                </a:lnTo>
                <a:lnTo>
                  <a:pt x="31" y="2197"/>
                </a:lnTo>
                <a:lnTo>
                  <a:pt x="21" y="2205"/>
                </a:lnTo>
                <a:lnTo>
                  <a:pt x="21" y="2210"/>
                </a:lnTo>
                <a:lnTo>
                  <a:pt x="897" y="2210"/>
                </a:lnTo>
                <a:lnTo>
                  <a:pt x="1059" y="2202"/>
                </a:lnTo>
                <a:lnTo>
                  <a:pt x="1173" y="2185"/>
                </a:lnTo>
                <a:lnTo>
                  <a:pt x="1282" y="2157"/>
                </a:lnTo>
                <a:lnTo>
                  <a:pt x="1386" y="2118"/>
                </a:lnTo>
                <a:lnTo>
                  <a:pt x="1528" y="2042"/>
                </a:lnTo>
                <a:lnTo>
                  <a:pt x="1614" y="1981"/>
                </a:lnTo>
                <a:lnTo>
                  <a:pt x="1693" y="1911"/>
                </a:lnTo>
                <a:lnTo>
                  <a:pt x="1798" y="1793"/>
                </a:lnTo>
                <a:lnTo>
                  <a:pt x="1857" y="1707"/>
                </a:lnTo>
                <a:lnTo>
                  <a:pt x="1933" y="1565"/>
                </a:lnTo>
                <a:lnTo>
                  <a:pt x="1972" y="1466"/>
                </a:lnTo>
                <a:lnTo>
                  <a:pt x="2014" y="1307"/>
                </a:lnTo>
                <a:lnTo>
                  <a:pt x="2034" y="1144"/>
                </a:lnTo>
                <a:lnTo>
                  <a:pt x="2035" y="1032"/>
                </a:lnTo>
                <a:lnTo>
                  <a:pt x="2027" y="923"/>
                </a:lnTo>
                <a:lnTo>
                  <a:pt x="2010" y="818"/>
                </a:lnTo>
                <a:lnTo>
                  <a:pt x="1983" y="718"/>
                </a:lnTo>
                <a:lnTo>
                  <a:pt x="1926" y="575"/>
                </a:lnTo>
                <a:lnTo>
                  <a:pt x="1849" y="444"/>
                </a:lnTo>
                <a:lnTo>
                  <a:pt x="1787" y="363"/>
                </a:lnTo>
                <a:lnTo>
                  <a:pt x="1680" y="255"/>
                </a:lnTo>
                <a:lnTo>
                  <a:pt x="1599" y="194"/>
                </a:lnTo>
                <a:lnTo>
                  <a:pt x="1509" y="139"/>
                </a:lnTo>
                <a:lnTo>
                  <a:pt x="1413" y="91"/>
                </a:lnTo>
                <a:lnTo>
                  <a:pt x="1308" y="54"/>
                </a:lnTo>
                <a:lnTo>
                  <a:pt x="1198" y="26"/>
                </a:lnTo>
                <a:lnTo>
                  <a:pt x="1079" y="8"/>
                </a:lnTo>
                <a:lnTo>
                  <a:pt x="938" y="0"/>
                </a:lnTo>
                <a:lnTo>
                  <a:pt x="0" y="0"/>
                </a:lnTo>
                <a:lnTo>
                  <a:pt x="2" y="5"/>
                </a:lnTo>
                <a:lnTo>
                  <a:pt x="69" y="55"/>
                </a:lnTo>
                <a:lnTo>
                  <a:pt x="103" y="97"/>
                </a:lnTo>
                <a:lnTo>
                  <a:pt x="114" y="120"/>
                </a:lnTo>
                <a:lnTo>
                  <a:pt x="120" y="147"/>
                </a:lnTo>
                <a:lnTo>
                  <a:pt x="120" y="1176"/>
                </a:lnTo>
                <a:lnTo>
                  <a:pt x="332" y="1176"/>
                </a:lnTo>
                <a:lnTo>
                  <a:pt x="332" y="200"/>
                </a:lnTo>
                <a:lnTo>
                  <a:pt x="1001" y="200"/>
                </a:lnTo>
                <a:lnTo>
                  <a:pt x="1126" y="216"/>
                </a:lnTo>
                <a:lnTo>
                  <a:pt x="1239" y="243"/>
                </a:lnTo>
                <a:lnTo>
                  <a:pt x="1339" y="280"/>
                </a:lnTo>
                <a:lnTo>
                  <a:pt x="1427" y="325"/>
                </a:lnTo>
                <a:lnTo>
                  <a:pt x="1505" y="378"/>
                </a:lnTo>
                <a:lnTo>
                  <a:pt x="1571" y="435"/>
                </a:lnTo>
                <a:lnTo>
                  <a:pt x="1653" y="532"/>
                </a:lnTo>
                <a:lnTo>
                  <a:pt x="1716" y="636"/>
                </a:lnTo>
                <a:lnTo>
                  <a:pt x="1748" y="707"/>
                </a:lnTo>
                <a:lnTo>
                  <a:pt x="1793" y="847"/>
                </a:lnTo>
                <a:lnTo>
                  <a:pt x="1806" y="914"/>
                </a:lnTo>
                <a:lnTo>
                  <a:pt x="1818" y="1035"/>
                </a:lnTo>
                <a:lnTo>
                  <a:pt x="1818" y="1134"/>
                </a:lnTo>
                <a:lnTo>
                  <a:pt x="1809" y="1227"/>
                </a:lnTo>
                <a:lnTo>
                  <a:pt x="1781" y="1361"/>
                </a:lnTo>
                <a:lnTo>
                  <a:pt x="1752" y="1447"/>
                </a:lnTo>
                <a:lnTo>
                  <a:pt x="1696" y="1567"/>
                </a:lnTo>
                <a:lnTo>
                  <a:pt x="1623" y="1677"/>
                </a:lnTo>
                <a:lnTo>
                  <a:pt x="1536" y="1774"/>
                </a:lnTo>
                <a:lnTo>
                  <a:pt x="1435" y="1857"/>
                </a:lnTo>
                <a:lnTo>
                  <a:pt x="1319" y="1923"/>
                </a:lnTo>
                <a:lnTo>
                  <a:pt x="1191" y="1973"/>
                </a:lnTo>
                <a:lnTo>
                  <a:pt x="1051" y="2002"/>
                </a:lnTo>
                <a:lnTo>
                  <a:pt x="951" y="2010"/>
                </a:lnTo>
                <a:lnTo>
                  <a:pt x="332" y="2010"/>
                </a:lnTo>
                <a:lnTo>
                  <a:pt x="332" y="1176"/>
                </a:lnTo>
                <a:lnTo>
                  <a:pt x="120" y="1176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281" name="Freeform 209">
            <a:extLst>
              <a:ext uri="{FF2B5EF4-FFF2-40B4-BE49-F238E27FC236}">
                <a16:creationId xmlns:a16="http://schemas.microsoft.com/office/drawing/2014/main" id="{00000000-0008-0000-0000-0000D10C0000}"/>
              </a:ext>
            </a:extLst>
          </xdr:cNvPr>
          <xdr:cNvSpPr>
            <a:spLocks/>
          </xdr:cNvSpPr>
        </xdr:nvSpPr>
        <xdr:spPr bwMode="auto">
          <a:xfrm>
            <a:off x="1216" y="12877"/>
            <a:ext cx="598" cy="762"/>
          </a:xfrm>
          <a:custGeom>
            <a:avLst/>
            <a:gdLst/>
            <a:ahLst/>
            <a:cxnLst>
              <a:cxn ang="0">
                <a:pos x="0" y="555"/>
              </a:cxn>
              <a:cxn ang="0">
                <a:pos x="0" y="1525"/>
              </a:cxn>
              <a:cxn ang="0">
                <a:pos x="454" y="1525"/>
              </a:cxn>
              <a:cxn ang="0">
                <a:pos x="570" y="1513"/>
              </a:cxn>
              <a:cxn ang="0">
                <a:pos x="679" y="1484"/>
              </a:cxn>
              <a:cxn ang="0">
                <a:pos x="748" y="1457"/>
              </a:cxn>
              <a:cxn ang="0">
                <a:pos x="812" y="1423"/>
              </a:cxn>
              <a:cxn ang="0">
                <a:pos x="873" y="1384"/>
              </a:cxn>
              <a:cxn ang="0">
                <a:pos x="929" y="1340"/>
              </a:cxn>
              <a:cxn ang="0">
                <a:pos x="981" y="1290"/>
              </a:cxn>
              <a:cxn ang="0">
                <a:pos x="1028" y="1235"/>
              </a:cxn>
              <a:cxn ang="0">
                <a:pos x="1069" y="1176"/>
              </a:cxn>
              <a:cxn ang="0">
                <a:pos x="1106" y="1113"/>
              </a:cxn>
              <a:cxn ang="0">
                <a:pos x="1137" y="1047"/>
              </a:cxn>
              <a:cxn ang="0">
                <a:pos x="1161" y="977"/>
              </a:cxn>
              <a:cxn ang="0">
                <a:pos x="1180" y="903"/>
              </a:cxn>
              <a:cxn ang="0">
                <a:pos x="1192" y="828"/>
              </a:cxn>
              <a:cxn ang="0">
                <a:pos x="1196" y="750"/>
              </a:cxn>
              <a:cxn ang="0">
                <a:pos x="1195" y="686"/>
              </a:cxn>
              <a:cxn ang="0">
                <a:pos x="1188" y="620"/>
              </a:cxn>
              <a:cxn ang="0">
                <a:pos x="1176" y="555"/>
              </a:cxn>
              <a:cxn ang="0">
                <a:pos x="1158" y="491"/>
              </a:cxn>
              <a:cxn ang="0">
                <a:pos x="1135" y="428"/>
              </a:cxn>
              <a:cxn ang="0">
                <a:pos x="1073" y="308"/>
              </a:cxn>
              <a:cxn ang="0">
                <a:pos x="1033" y="253"/>
              </a:cxn>
              <a:cxn ang="0">
                <a:pos x="962" y="178"/>
              </a:cxn>
              <a:cxn ang="0">
                <a:pos x="877" y="112"/>
              </a:cxn>
              <a:cxn ang="0">
                <a:pos x="812" y="76"/>
              </a:cxn>
              <a:cxn ang="0">
                <a:pos x="702" y="34"/>
              </a:cxn>
              <a:cxn ang="0">
                <a:pos x="621" y="14"/>
              </a:cxn>
              <a:cxn ang="0">
                <a:pos x="532" y="3"/>
              </a:cxn>
              <a:cxn ang="0">
                <a:pos x="478" y="0"/>
              </a:cxn>
              <a:cxn ang="0">
                <a:pos x="0" y="0"/>
              </a:cxn>
              <a:cxn ang="0">
                <a:pos x="0" y="555"/>
              </a:cxn>
              <a:cxn ang="0">
                <a:pos x="194" y="555"/>
              </a:cxn>
              <a:cxn ang="0">
                <a:pos x="194" y="193"/>
              </a:cxn>
              <a:cxn ang="0">
                <a:pos x="480" y="193"/>
              </a:cxn>
              <a:cxn ang="0">
                <a:pos x="548" y="199"/>
              </a:cxn>
              <a:cxn ang="0">
                <a:pos x="612" y="213"/>
              </a:cxn>
              <a:cxn ang="0">
                <a:pos x="669" y="232"/>
              </a:cxn>
              <a:cxn ang="0">
                <a:pos x="723" y="256"/>
              </a:cxn>
              <a:cxn ang="0">
                <a:pos x="770" y="284"/>
              </a:cxn>
              <a:cxn ang="0">
                <a:pos x="812" y="316"/>
              </a:cxn>
              <a:cxn ang="0">
                <a:pos x="884" y="391"/>
              </a:cxn>
              <a:cxn ang="0">
                <a:pos x="936" y="476"/>
              </a:cxn>
              <a:cxn ang="0">
                <a:pos x="971" y="567"/>
              </a:cxn>
              <a:cxn ang="0">
                <a:pos x="991" y="660"/>
              </a:cxn>
              <a:cxn ang="0">
                <a:pos x="997" y="750"/>
              </a:cxn>
              <a:cxn ang="0">
                <a:pos x="985" y="863"/>
              </a:cxn>
              <a:cxn ang="0">
                <a:pos x="971" y="918"/>
              </a:cxn>
              <a:cxn ang="0">
                <a:pos x="929" y="1022"/>
              </a:cxn>
              <a:cxn ang="0">
                <a:pos x="871" y="1116"/>
              </a:cxn>
              <a:cxn ang="0">
                <a:pos x="836" y="1157"/>
              </a:cxn>
              <a:cxn ang="0">
                <a:pos x="756" y="1230"/>
              </a:cxn>
              <a:cxn ang="0">
                <a:pos x="661" y="1285"/>
              </a:cxn>
              <a:cxn ang="0">
                <a:pos x="610" y="1306"/>
              </a:cxn>
              <a:cxn ang="0">
                <a:pos x="556" y="1321"/>
              </a:cxn>
              <a:cxn ang="0">
                <a:pos x="501" y="1331"/>
              </a:cxn>
              <a:cxn ang="0">
                <a:pos x="193" y="1335"/>
              </a:cxn>
              <a:cxn ang="0">
                <a:pos x="194" y="555"/>
              </a:cxn>
              <a:cxn ang="0">
                <a:pos x="0" y="555"/>
              </a:cxn>
            </a:cxnLst>
            <a:rect l="0" t="0" r="r" b="b"/>
            <a:pathLst>
              <a:path w="1196" h="1525">
                <a:moveTo>
                  <a:pt x="0" y="555"/>
                </a:moveTo>
                <a:lnTo>
                  <a:pt x="0" y="1525"/>
                </a:lnTo>
                <a:lnTo>
                  <a:pt x="454" y="1525"/>
                </a:lnTo>
                <a:lnTo>
                  <a:pt x="570" y="1513"/>
                </a:lnTo>
                <a:lnTo>
                  <a:pt x="679" y="1484"/>
                </a:lnTo>
                <a:lnTo>
                  <a:pt x="748" y="1457"/>
                </a:lnTo>
                <a:lnTo>
                  <a:pt x="812" y="1423"/>
                </a:lnTo>
                <a:lnTo>
                  <a:pt x="873" y="1384"/>
                </a:lnTo>
                <a:lnTo>
                  <a:pt x="929" y="1340"/>
                </a:lnTo>
                <a:lnTo>
                  <a:pt x="981" y="1290"/>
                </a:lnTo>
                <a:lnTo>
                  <a:pt x="1028" y="1235"/>
                </a:lnTo>
                <a:lnTo>
                  <a:pt x="1069" y="1176"/>
                </a:lnTo>
                <a:lnTo>
                  <a:pt x="1106" y="1113"/>
                </a:lnTo>
                <a:lnTo>
                  <a:pt x="1137" y="1047"/>
                </a:lnTo>
                <a:lnTo>
                  <a:pt x="1161" y="977"/>
                </a:lnTo>
                <a:lnTo>
                  <a:pt x="1180" y="903"/>
                </a:lnTo>
                <a:lnTo>
                  <a:pt x="1192" y="828"/>
                </a:lnTo>
                <a:lnTo>
                  <a:pt x="1196" y="750"/>
                </a:lnTo>
                <a:lnTo>
                  <a:pt x="1195" y="686"/>
                </a:lnTo>
                <a:lnTo>
                  <a:pt x="1188" y="620"/>
                </a:lnTo>
                <a:lnTo>
                  <a:pt x="1176" y="555"/>
                </a:lnTo>
                <a:lnTo>
                  <a:pt x="1158" y="491"/>
                </a:lnTo>
                <a:lnTo>
                  <a:pt x="1135" y="428"/>
                </a:lnTo>
                <a:lnTo>
                  <a:pt x="1073" y="308"/>
                </a:lnTo>
                <a:lnTo>
                  <a:pt x="1033" y="253"/>
                </a:lnTo>
                <a:lnTo>
                  <a:pt x="962" y="178"/>
                </a:lnTo>
                <a:lnTo>
                  <a:pt x="877" y="112"/>
                </a:lnTo>
                <a:lnTo>
                  <a:pt x="812" y="76"/>
                </a:lnTo>
                <a:lnTo>
                  <a:pt x="702" y="34"/>
                </a:lnTo>
                <a:lnTo>
                  <a:pt x="621" y="14"/>
                </a:lnTo>
                <a:lnTo>
                  <a:pt x="532" y="3"/>
                </a:lnTo>
                <a:lnTo>
                  <a:pt x="478" y="0"/>
                </a:lnTo>
                <a:lnTo>
                  <a:pt x="0" y="0"/>
                </a:lnTo>
                <a:lnTo>
                  <a:pt x="0" y="555"/>
                </a:lnTo>
                <a:lnTo>
                  <a:pt x="194" y="555"/>
                </a:lnTo>
                <a:lnTo>
                  <a:pt x="194" y="193"/>
                </a:lnTo>
                <a:lnTo>
                  <a:pt x="480" y="193"/>
                </a:lnTo>
                <a:lnTo>
                  <a:pt x="548" y="199"/>
                </a:lnTo>
                <a:lnTo>
                  <a:pt x="612" y="213"/>
                </a:lnTo>
                <a:lnTo>
                  <a:pt x="669" y="232"/>
                </a:lnTo>
                <a:lnTo>
                  <a:pt x="723" y="256"/>
                </a:lnTo>
                <a:lnTo>
                  <a:pt x="770" y="284"/>
                </a:lnTo>
                <a:lnTo>
                  <a:pt x="812" y="316"/>
                </a:lnTo>
                <a:lnTo>
                  <a:pt x="884" y="391"/>
                </a:lnTo>
                <a:lnTo>
                  <a:pt x="936" y="476"/>
                </a:lnTo>
                <a:lnTo>
                  <a:pt x="971" y="567"/>
                </a:lnTo>
                <a:lnTo>
                  <a:pt x="991" y="660"/>
                </a:lnTo>
                <a:lnTo>
                  <a:pt x="997" y="750"/>
                </a:lnTo>
                <a:lnTo>
                  <a:pt x="985" y="863"/>
                </a:lnTo>
                <a:lnTo>
                  <a:pt x="971" y="918"/>
                </a:lnTo>
                <a:lnTo>
                  <a:pt x="929" y="1022"/>
                </a:lnTo>
                <a:lnTo>
                  <a:pt x="871" y="1116"/>
                </a:lnTo>
                <a:lnTo>
                  <a:pt x="836" y="1157"/>
                </a:lnTo>
                <a:lnTo>
                  <a:pt x="756" y="1230"/>
                </a:lnTo>
                <a:lnTo>
                  <a:pt x="661" y="1285"/>
                </a:lnTo>
                <a:lnTo>
                  <a:pt x="610" y="1306"/>
                </a:lnTo>
                <a:lnTo>
                  <a:pt x="556" y="1321"/>
                </a:lnTo>
                <a:lnTo>
                  <a:pt x="501" y="1331"/>
                </a:lnTo>
                <a:lnTo>
                  <a:pt x="193" y="1335"/>
                </a:lnTo>
                <a:lnTo>
                  <a:pt x="194" y="555"/>
                </a:lnTo>
                <a:lnTo>
                  <a:pt x="0" y="555"/>
                </a:lnTo>
                <a:close/>
              </a:path>
            </a:pathLst>
          </a:custGeom>
          <a:solidFill>
            <a:srgbClr val="000000"/>
          </a:solidFill>
          <a:ln w="9525">
            <a:noFill/>
            <a:round/>
            <a:headEnd/>
            <a:tailEnd/>
          </a:ln>
        </xdr:spPr>
      </xdr:sp>
    </xdr:grpSp>
    <xdr:clientData/>
  </xdr:twoCellAnchor>
  <xdr:twoCellAnchor>
    <xdr:from>
      <xdr:col>8</xdr:col>
      <xdr:colOff>152400</xdr:colOff>
      <xdr:row>0</xdr:row>
      <xdr:rowOff>47625</xdr:rowOff>
    </xdr:from>
    <xdr:to>
      <xdr:col>11</xdr:col>
      <xdr:colOff>28575</xdr:colOff>
      <xdr:row>21</xdr:row>
      <xdr:rowOff>76198</xdr:rowOff>
    </xdr:to>
    <xdr:graphicFrame macro="">
      <xdr:nvGraphicFramePr>
        <xdr:cNvPr id="20" name="Chart 5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175260</xdr:rowOff>
        </xdr:from>
        <xdr:to>
          <xdr:col>3</xdr:col>
          <xdr:colOff>0</xdr:colOff>
          <xdr:row>7</xdr:row>
          <xdr:rowOff>182880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6</xdr:row>
          <xdr:rowOff>121920</xdr:rowOff>
        </xdr:from>
        <xdr:to>
          <xdr:col>7</xdr:col>
          <xdr:colOff>381000</xdr:colOff>
          <xdr:row>7</xdr:row>
          <xdr:rowOff>144780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Wet Hole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7</xdr:row>
          <xdr:rowOff>152400</xdr:rowOff>
        </xdr:from>
        <xdr:to>
          <xdr:col>7</xdr:col>
          <xdr:colOff>495300</xdr:colOff>
          <xdr:row>9</xdr:row>
          <xdr:rowOff>7620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Alt. Diameter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2</xdr:row>
          <xdr:rowOff>99060</xdr:rowOff>
        </xdr:from>
        <xdr:to>
          <xdr:col>7</xdr:col>
          <xdr:colOff>381000</xdr:colOff>
          <xdr:row>5</xdr:row>
          <xdr:rowOff>182880</xdr:rowOff>
        </xdr:to>
        <xdr:sp macro="" textlink="">
          <xdr:nvSpPr>
            <xdr:cNvPr id="3098" name="Group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3</xdr:row>
          <xdr:rowOff>0</xdr:rowOff>
        </xdr:from>
        <xdr:to>
          <xdr:col>7</xdr:col>
          <xdr:colOff>251460</xdr:colOff>
          <xdr:row>4</xdr:row>
          <xdr:rowOff>30480</xdr:rowOff>
        </xdr:to>
        <xdr:sp macro="" textlink="">
          <xdr:nvSpPr>
            <xdr:cNvPr id="3099" name="Option 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220980</xdr:colOff>
          <xdr:row>4</xdr:row>
          <xdr:rowOff>38100</xdr:rowOff>
        </xdr:from>
        <xdr:to>
          <xdr:col>7</xdr:col>
          <xdr:colOff>289560</xdr:colOff>
          <xdr:row>5</xdr:row>
          <xdr:rowOff>68580</xdr:rowOff>
        </xdr:to>
        <xdr:sp macro="" textlink="">
          <xdr:nvSpPr>
            <xdr:cNvPr id="3100" name="Option 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Imperial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M70"/>
  <sheetViews>
    <sheetView showGridLines="0" showRowColHeaders="0" tabSelected="1" topLeftCell="A11" zoomScaleNormal="100" workbookViewId="0">
      <selection activeCell="E19" sqref="E19"/>
    </sheetView>
  </sheetViews>
  <sheetFormatPr defaultRowHeight="13.2" x14ac:dyDescent="0.25"/>
  <cols>
    <col min="1" max="1" width="2.109375" style="70" customWidth="1"/>
    <col min="2" max="2" width="16.6640625" style="70" customWidth="1"/>
    <col min="3" max="13" width="9.109375" style="70"/>
    <col min="14" max="14" width="9.109375" hidden="1" customWidth="1"/>
    <col min="15" max="15" width="10.44140625" hidden="1" customWidth="1"/>
    <col min="16" max="16" width="10.33203125" hidden="1" customWidth="1"/>
    <col min="17" max="17" width="9.88671875" hidden="1" customWidth="1"/>
    <col min="18" max="18" width="9.109375" hidden="1" customWidth="1"/>
    <col min="19" max="19" width="9.5546875" hidden="1" customWidth="1"/>
    <col min="20" max="24" width="9.109375" hidden="1" customWidth="1"/>
    <col min="25" max="143" width="9.109375" style="70"/>
  </cols>
  <sheetData>
    <row r="2" spans="1:24" ht="21" x14ac:dyDescent="0.4">
      <c r="B2" s="71"/>
      <c r="C2" s="72"/>
      <c r="D2" s="72"/>
      <c r="E2" s="72"/>
      <c r="F2" s="72"/>
      <c r="G2" s="73"/>
      <c r="H2" s="74"/>
      <c r="I2" s="75"/>
      <c r="J2" s="75"/>
      <c r="K2" s="75"/>
      <c r="L2" s="75"/>
      <c r="N2" s="5"/>
      <c r="O2" s="37" t="s">
        <v>0</v>
      </c>
      <c r="P2" s="37" t="s">
        <v>49</v>
      </c>
      <c r="Q2" s="37" t="s">
        <v>50</v>
      </c>
      <c r="S2" s="37"/>
      <c r="T2" s="37" t="s">
        <v>48</v>
      </c>
      <c r="U2" s="37" t="s">
        <v>54</v>
      </c>
      <c r="W2" s="37" t="s">
        <v>53</v>
      </c>
    </row>
    <row r="3" spans="1:24" ht="15" customHeight="1" x14ac:dyDescent="0.4">
      <c r="B3" s="76"/>
      <c r="G3" s="75"/>
      <c r="H3" s="77"/>
      <c r="I3" s="75"/>
      <c r="J3" s="75"/>
      <c r="K3" s="75"/>
      <c r="L3" s="75"/>
      <c r="O3" s="8">
        <v>4</v>
      </c>
      <c r="P3" s="8">
        <f>IF(Q10=TRUE,E8,INDEX($O$31:$T$52,$O$3,2))</f>
        <v>4.5</v>
      </c>
      <c r="Q3" s="9">
        <f>IF(P4&gt;=6, 1.31,-0.0049*P4^2+0.0587*P4+1.1357)</f>
        <v>1.3006249999999999</v>
      </c>
      <c r="S3" s="2"/>
      <c r="T3" s="8">
        <v>2</v>
      </c>
      <c r="U3" s="8">
        <f>IF($T$3=1,0.1338,0.58)</f>
        <v>0.57999999999999996</v>
      </c>
      <c r="W3" s="8">
        <f>IF($T$3=1,1.034,14.7)</f>
        <v>14.7</v>
      </c>
    </row>
    <row r="4" spans="1:24" ht="15" customHeight="1" x14ac:dyDescent="0.4">
      <c r="B4" s="76"/>
      <c r="G4" s="75"/>
      <c r="H4" s="77"/>
      <c r="I4" s="75"/>
      <c r="J4" s="75"/>
      <c r="K4" s="75"/>
      <c r="L4" s="75"/>
      <c r="P4" s="10">
        <f>IF(T3=1,P3/25.4,P3)</f>
        <v>4.5</v>
      </c>
    </row>
    <row r="5" spans="1:24" ht="15" customHeight="1" x14ac:dyDescent="0.4">
      <c r="B5" s="76"/>
      <c r="G5" s="75"/>
      <c r="H5" s="77"/>
      <c r="I5" s="75"/>
      <c r="J5" s="75"/>
      <c r="K5" s="75"/>
      <c r="L5" s="75"/>
      <c r="O5" s="12" t="s">
        <v>11</v>
      </c>
    </row>
    <row r="6" spans="1:24" ht="15" customHeight="1" x14ac:dyDescent="0.4">
      <c r="B6" s="76" t="s">
        <v>55</v>
      </c>
      <c r="G6" s="75"/>
      <c r="H6" s="77"/>
      <c r="I6" s="75"/>
      <c r="J6" s="75"/>
      <c r="K6" s="75"/>
      <c r="L6" s="75"/>
      <c r="N6" s="3"/>
      <c r="O6" s="34" t="s">
        <v>9</v>
      </c>
      <c r="P6" s="35"/>
      <c r="Q6" s="34" t="s">
        <v>31</v>
      </c>
      <c r="R6" s="35"/>
      <c r="S6" s="34" t="s">
        <v>32</v>
      </c>
      <c r="T6" s="7"/>
      <c r="U6" s="34" t="s">
        <v>10</v>
      </c>
      <c r="W6" s="34" t="s">
        <v>47</v>
      </c>
    </row>
    <row r="7" spans="1:24" ht="15" customHeight="1" x14ac:dyDescent="0.3">
      <c r="B7" s="78"/>
      <c r="E7" s="79" t="str">
        <f>IF(Q10,"Alt. Diameter"," ")</f>
        <v xml:space="preserve"> </v>
      </c>
      <c r="G7" s="75"/>
      <c r="H7" s="77"/>
      <c r="I7" s="75"/>
      <c r="J7" s="75"/>
      <c r="K7" s="75"/>
      <c r="L7" s="75"/>
      <c r="O7" s="11">
        <f>C13+(D13*D14/C14)+(E13*E14/C14)+(F13*F14/C14)+(W7*1/C14)</f>
        <v>29</v>
      </c>
      <c r="P7" s="4"/>
      <c r="Q7" s="11">
        <f>IF(OR(D13=0,D14=0),0,D13+(E13*E14/D14)+(F13*F14/D14)+(W7*1/D14))</f>
        <v>0</v>
      </c>
      <c r="S7" s="11">
        <f>IF(OR(E13=0,E14=0),0,E13+(F13*F14/E14)+(W7*1/E14))</f>
        <v>0</v>
      </c>
      <c r="T7" s="4"/>
      <c r="U7" s="11">
        <f>IF(OR(F13=0,F14=0),0,F13+(W7*1/F14))</f>
        <v>0</v>
      </c>
      <c r="W7" s="8">
        <f>IF(O10=TRUE,S16,0)</f>
        <v>0</v>
      </c>
    </row>
    <row r="8" spans="1:24" ht="15" customHeight="1" thickBot="1" x14ac:dyDescent="0.3">
      <c r="B8" s="80" t="s">
        <v>2</v>
      </c>
      <c r="D8" s="81" t="str">
        <f>IF($T$3=1,"mm","inches")</f>
        <v>inches</v>
      </c>
      <c r="E8" s="107">
        <v>5.75</v>
      </c>
      <c r="G8" s="75"/>
      <c r="H8" s="77"/>
      <c r="I8" s="75"/>
      <c r="J8" s="75"/>
      <c r="K8" s="75"/>
      <c r="L8" s="75"/>
      <c r="O8" s="1"/>
      <c r="P8" s="1"/>
      <c r="Q8" s="1"/>
    </row>
    <row r="9" spans="1:24" ht="13.8" thickBot="1" x14ac:dyDescent="0.3">
      <c r="B9" s="80" t="s">
        <v>4</v>
      </c>
      <c r="C9" s="106">
        <v>38</v>
      </c>
      <c r="D9" s="81" t="str">
        <f>IF($T$3=1,"m","ft")</f>
        <v>ft</v>
      </c>
      <c r="G9" s="75"/>
      <c r="H9" s="77"/>
      <c r="I9" s="75"/>
      <c r="J9" s="75"/>
      <c r="K9" s="75"/>
      <c r="L9" s="75"/>
      <c r="O9" s="34" t="s">
        <v>45</v>
      </c>
      <c r="P9" s="6"/>
      <c r="Q9" s="34" t="s">
        <v>46</v>
      </c>
      <c r="R9" s="6"/>
      <c r="S9" s="37" t="s">
        <v>58</v>
      </c>
      <c r="T9" s="12" t="s">
        <v>30</v>
      </c>
      <c r="U9" s="12" t="s">
        <v>29</v>
      </c>
      <c r="V9" s="12" t="s">
        <v>8</v>
      </c>
    </row>
    <row r="10" spans="1:24" ht="13.8" thickBot="1" x14ac:dyDescent="0.3">
      <c r="B10" s="80" t="s">
        <v>61</v>
      </c>
      <c r="C10" s="106">
        <v>100</v>
      </c>
      <c r="G10" s="75"/>
      <c r="H10" s="77"/>
      <c r="I10" s="75"/>
      <c r="J10" s="75"/>
      <c r="K10" s="75"/>
      <c r="L10" s="75"/>
      <c r="O10" s="36" t="b">
        <v>0</v>
      </c>
      <c r="P10" s="8"/>
      <c r="Q10" s="8" t="b">
        <v>0</v>
      </c>
      <c r="R10" s="8"/>
      <c r="S10" s="9">
        <f>((1+(O7*U3/W3))/((O7*U3/W3)+(C25/C14)))*C25</f>
        <v>1.2249680469683588</v>
      </c>
      <c r="T10" s="55">
        <f>IF(D17=" ",0,D17)</f>
        <v>0</v>
      </c>
      <c r="U10" s="55">
        <f t="shared" ref="U10:V10" si="0">IF(E17=" ",0,E17)</f>
        <v>0</v>
      </c>
      <c r="V10" s="55">
        <f t="shared" si="0"/>
        <v>0</v>
      </c>
    </row>
    <row r="11" spans="1:24" x14ac:dyDescent="0.25">
      <c r="B11" s="78"/>
      <c r="G11" s="75"/>
      <c r="H11" s="77"/>
      <c r="I11" s="75"/>
      <c r="J11" s="75"/>
      <c r="K11" s="75"/>
      <c r="L11" s="75"/>
    </row>
    <row r="12" spans="1:24" ht="13.8" thickBot="1" x14ac:dyDescent="0.3">
      <c r="A12" s="75"/>
      <c r="B12" s="78"/>
      <c r="C12" s="79" t="s">
        <v>7</v>
      </c>
      <c r="D12" s="79" t="s">
        <v>30</v>
      </c>
      <c r="E12" s="79" t="s">
        <v>29</v>
      </c>
      <c r="F12" s="79" t="s">
        <v>8</v>
      </c>
      <c r="G12" s="75"/>
      <c r="H12" s="77"/>
      <c r="I12" s="75"/>
      <c r="J12" s="75"/>
      <c r="K12" s="75"/>
      <c r="L12" s="75"/>
      <c r="O12" s="7"/>
      <c r="P12" s="6"/>
      <c r="Q12" s="6"/>
      <c r="R12" s="6"/>
      <c r="S12" s="6"/>
      <c r="T12" s="6"/>
    </row>
    <row r="13" spans="1:24" ht="13.8" thickBot="1" x14ac:dyDescent="0.3">
      <c r="A13" s="75"/>
      <c r="B13" s="80" t="s">
        <v>1</v>
      </c>
      <c r="C13" s="106">
        <v>29</v>
      </c>
      <c r="D13" s="106">
        <v>0</v>
      </c>
      <c r="E13" s="106">
        <v>0</v>
      </c>
      <c r="F13" s="106">
        <v>0</v>
      </c>
      <c r="G13" s="81" t="str">
        <f>IF($T$3=1,"m (max of 30 m)","ft (max of 100 ft)")</f>
        <v>ft (max of 100 ft)</v>
      </c>
      <c r="H13" s="77"/>
      <c r="I13" s="75"/>
      <c r="J13" s="75"/>
      <c r="K13" s="75"/>
      <c r="L13" s="75"/>
      <c r="O13" s="33"/>
      <c r="P13" s="8"/>
      <c r="Q13" s="8"/>
      <c r="R13" s="8"/>
      <c r="S13" s="8"/>
      <c r="T13" s="42"/>
      <c r="U13" s="3"/>
    </row>
    <row r="14" spans="1:24" ht="13.8" thickBot="1" x14ac:dyDescent="0.3">
      <c r="A14" s="75"/>
      <c r="B14" s="80" t="s">
        <v>3</v>
      </c>
      <c r="C14" s="106">
        <v>1.1000000000000001</v>
      </c>
      <c r="D14" s="106">
        <v>0</v>
      </c>
      <c r="E14" s="106">
        <v>0</v>
      </c>
      <c r="F14" s="106">
        <v>0</v>
      </c>
      <c r="G14" s="81" t="s">
        <v>5</v>
      </c>
      <c r="H14" s="77"/>
      <c r="I14" s="75"/>
      <c r="J14" s="75"/>
      <c r="K14" s="75"/>
      <c r="L14" s="75"/>
      <c r="M14" s="75"/>
      <c r="O14" s="13"/>
      <c r="P14" s="44" t="s">
        <v>39</v>
      </c>
      <c r="Q14" s="22"/>
      <c r="R14" s="21" t="s">
        <v>33</v>
      </c>
      <c r="S14" s="22"/>
      <c r="T14" s="44" t="s">
        <v>35</v>
      </c>
      <c r="U14" s="66"/>
      <c r="V14" s="7"/>
      <c r="W14" s="7"/>
      <c r="X14" s="43"/>
    </row>
    <row r="15" spans="1:24" x14ac:dyDescent="0.25">
      <c r="A15" s="75"/>
      <c r="B15" s="82"/>
      <c r="C15" s="83"/>
      <c r="D15" s="84"/>
      <c r="E15" s="84"/>
      <c r="F15" s="85"/>
      <c r="G15" s="85"/>
      <c r="H15" s="77"/>
      <c r="I15" s="86"/>
      <c r="J15" s="86"/>
      <c r="K15" s="86"/>
      <c r="L15" s="86"/>
      <c r="M15" s="75"/>
      <c r="O15" s="14"/>
      <c r="P15" s="45" t="s">
        <v>51</v>
      </c>
      <c r="Q15" s="15" t="s">
        <v>52</v>
      </c>
      <c r="R15" s="7" t="s">
        <v>34</v>
      </c>
      <c r="S15" s="15" t="s">
        <v>35</v>
      </c>
      <c r="T15" s="45" t="s">
        <v>66</v>
      </c>
      <c r="U15" s="67" t="s">
        <v>34</v>
      </c>
      <c r="V15" s="7"/>
      <c r="W15" s="7"/>
      <c r="X15" s="7"/>
    </row>
    <row r="16" spans="1:24" x14ac:dyDescent="0.25">
      <c r="A16" s="75"/>
      <c r="B16" s="82" t="s">
        <v>26</v>
      </c>
      <c r="C16" s="87">
        <f>IF(OR(C13=0,C14=0)," ",((1+($O$7-0.5*C13)*U3/W3))/((($O$7-0.5*C13)*U3/W3)+($C$25/$C$14))*$C$25)</f>
        <v>1.1822507950620664</v>
      </c>
      <c r="D16" s="87" t="str">
        <f>IF(OR(D13=0,D14=0)," ",((1+($Q$7-0.5*D13)*U3/W3))/((($Q$7-0.5*D13)*U3/W3)+($C$25/$D$14))*$C$25)</f>
        <v xml:space="preserve"> </v>
      </c>
      <c r="E16" s="87" t="str">
        <f>IF(OR(E13=0,E14=0)," ",((1+($S$7-0.5*E13)*U3/W3))/((($S$7-0.5*E13)*U3/W3)+($C$25/$E$14))*$C$25)</f>
        <v xml:space="preserve"> </v>
      </c>
      <c r="F16" s="87" t="str">
        <f>IF(OR(F13=0,F14=0)," ",((1+($U$7-0.5*F13)*U3/W3))/((($U$7-0.5*F13)*U3/W3)+($C$25/$F$14))*$C$25)</f>
        <v xml:space="preserve"> </v>
      </c>
      <c r="G16" s="81" t="s">
        <v>5</v>
      </c>
      <c r="H16" s="77"/>
      <c r="I16" s="75"/>
      <c r="J16" s="75"/>
      <c r="K16" s="75"/>
      <c r="L16" s="75"/>
      <c r="M16" s="75"/>
      <c r="O16" s="14" t="s">
        <v>36</v>
      </c>
      <c r="P16" s="46">
        <f>P17</f>
        <v>12.790240399411822</v>
      </c>
      <c r="Q16" s="47">
        <f>Q17</f>
        <v>-10896.933941401623</v>
      </c>
      <c r="R16" s="16">
        <f>IF($T$3=1,Q16,P16)</f>
        <v>12.790240399411822</v>
      </c>
      <c r="S16" s="17">
        <f>$C$9-S17-S18-S19-S20</f>
        <v>9</v>
      </c>
      <c r="T16" s="46">
        <f>IF(C10=100,R16,T62)</f>
        <v>12.790240399411822</v>
      </c>
      <c r="U16" s="68">
        <f>IF($C$10&lt;100, R62,R16)</f>
        <v>12.790240399411822</v>
      </c>
      <c r="W16" s="7"/>
      <c r="X16" s="16"/>
    </row>
    <row r="17" spans="2:24" x14ac:dyDescent="0.25">
      <c r="B17" s="82" t="s">
        <v>28</v>
      </c>
      <c r="C17" s="87">
        <f>IF(OR(C13=0,C14=0)," ",((1+($O$7*U3/W3))/(($O$7*U3/W3)+($C$25/$C$14)))*$C$25)</f>
        <v>1.2249680469683588</v>
      </c>
      <c r="D17" s="87" t="str">
        <f>IF(OR(D13=0,D14=0)," ",((1+($Q$7*U3/W3))/(($Q$7*U3/W3)+($C$25/$D$14)))*$C$25)</f>
        <v xml:space="preserve"> </v>
      </c>
      <c r="E17" s="87" t="str">
        <f>IF(OR(E13=0,E14=0)," ",((1+($S$7*U3/W3))/(($S$7*U3/W3)+($C$25/$E$14)))*$C$25)</f>
        <v xml:space="preserve"> </v>
      </c>
      <c r="F17" s="87" t="str">
        <f>IF(OR(F13=0,F14=0)," ",((1+($U$7*U3/W3))/(($U$7*U3/W3)+($C$25/$F$14)))*$C$25)</f>
        <v xml:space="preserve"> </v>
      </c>
      <c r="G17" s="81" t="s">
        <v>5</v>
      </c>
      <c r="H17" s="77"/>
      <c r="I17" s="75"/>
      <c r="J17" s="75"/>
      <c r="K17" s="75"/>
      <c r="L17" s="75"/>
      <c r="O17" s="14" t="s">
        <v>8</v>
      </c>
      <c r="P17" s="46">
        <f>IF(OR($F$13=0,$F$14=0),P18,P18-(($F$19/(0.3405*$P$4^2*$C$25))))</f>
        <v>12.790240399411822</v>
      </c>
      <c r="Q17" s="47">
        <f>IF(OR($C$13=0,$C$14=0),Q18,Q18-((F19/(0.000785*$P$3^2*$C$25))))</f>
        <v>-10896.933941401623</v>
      </c>
      <c r="R17" s="16">
        <f>IF($T$3=1,Q18-Q17,P18-P17)</f>
        <v>0</v>
      </c>
      <c r="S17" s="17">
        <f>$F$13</f>
        <v>0</v>
      </c>
      <c r="T17" s="46">
        <f t="shared" ref="T17:T20" si="1">IF(C11=100,R17,T63)</f>
        <v>12.790240399411822</v>
      </c>
      <c r="U17" s="68">
        <f t="shared" ref="U17:U20" si="2">IF($C$10&lt;100, R63,R17)</f>
        <v>0</v>
      </c>
      <c r="W17" s="7"/>
      <c r="X17" s="16"/>
    </row>
    <row r="18" spans="2:24" x14ac:dyDescent="0.25">
      <c r="B18" s="82"/>
      <c r="C18" s="75"/>
      <c r="D18" s="75"/>
      <c r="E18" s="75"/>
      <c r="F18" s="75"/>
      <c r="G18" s="88" t="s">
        <v>27</v>
      </c>
      <c r="H18" s="77"/>
      <c r="I18" s="75"/>
      <c r="J18" s="75"/>
      <c r="K18" s="75"/>
      <c r="L18" s="89" t="s">
        <v>35</v>
      </c>
      <c r="O18" s="14" t="s">
        <v>37</v>
      </c>
      <c r="P18" s="46">
        <f>IF(OR($E$13=0,$E$14=0),P19,P19-(($E$19/(0.3405*$P$4^2*$C$25))))</f>
        <v>12.790240399411822</v>
      </c>
      <c r="Q18" s="47">
        <f>IF(OR($C$13=0,$C$14=0),Q19,Q19-((E19/(0.000785*$P$3^2*$C$25))))</f>
        <v>-10896.933941401623</v>
      </c>
      <c r="R18" s="16">
        <f>IF($T$3=1,Q19-Q18,P19-P18)</f>
        <v>0</v>
      </c>
      <c r="S18" s="17">
        <f>$E$13</f>
        <v>0</v>
      </c>
      <c r="T18" s="46">
        <f t="shared" si="1"/>
        <v>12.790240399411822</v>
      </c>
      <c r="U18" s="68">
        <f t="shared" si="2"/>
        <v>0</v>
      </c>
      <c r="W18" s="7"/>
      <c r="X18" s="16"/>
    </row>
    <row r="19" spans="2:24" x14ac:dyDescent="0.25">
      <c r="B19" s="80" t="str">
        <f>IF($T$3=1,"Kilograms to load","Pounds to load")</f>
        <v>Pounds to load</v>
      </c>
      <c r="C19" s="90">
        <f>IF(OR(C13=0,C14=0),0,IF($T$3=1,0.000785*$P$3^2*C16*C13,0.3405*$P$3^2*C16*C13))</f>
        <v>236.4012433857676</v>
      </c>
      <c r="D19" s="90">
        <f>IF(OR(D13=0,D14=0),0,IF($T$3=1,0.000785*$P$3^2*D16*D13,0.3405*$P$3^2*D16*D13))</f>
        <v>0</v>
      </c>
      <c r="E19" s="90">
        <f t="shared" ref="E19:F19" si="3">IF(OR(E13=0,E14=0),0,IF($T$3=1,0.000785*$P$3^2*E16*E13,0.3405*$P$3^2*E16*E13))</f>
        <v>0</v>
      </c>
      <c r="F19" s="90">
        <f t="shared" si="3"/>
        <v>0</v>
      </c>
      <c r="G19" s="91">
        <f>C19+D19+E19+F19</f>
        <v>236.4012433857676</v>
      </c>
      <c r="H19" s="92" t="str">
        <f>IF($T$3=1,"kg","lbs")</f>
        <v>lbs</v>
      </c>
      <c r="I19" s="75"/>
      <c r="J19" s="75"/>
      <c r="K19" s="75"/>
      <c r="L19" s="75"/>
      <c r="O19" s="14" t="s">
        <v>30</v>
      </c>
      <c r="P19" s="46">
        <f>IF(OR($D$13=0,$D$14=0),P20,P20-(($D$19/(0.3405*$P$4^2*$C$25))))</f>
        <v>12.790240399411822</v>
      </c>
      <c r="Q19" s="47">
        <f>IF(OR($C$13=0,$C$14=0),Q20,Q20-((D19/(0.000785*$P$3^2*$C$25))))</f>
        <v>-10896.933941401623</v>
      </c>
      <c r="R19" s="16">
        <f>IF($T$3=1,Q20-Q19,P20-P19)</f>
        <v>0</v>
      </c>
      <c r="S19" s="17">
        <f>$D$13</f>
        <v>0</v>
      </c>
      <c r="T19" s="46">
        <f t="shared" si="1"/>
        <v>12.790240399411822</v>
      </c>
      <c r="U19" s="68">
        <f t="shared" si="2"/>
        <v>0</v>
      </c>
      <c r="W19" s="7"/>
      <c r="X19" s="16"/>
    </row>
    <row r="20" spans="2:24" x14ac:dyDescent="0.25">
      <c r="B20" s="82" t="str">
        <f>IF($T$3=1,"Unloaded Collar (m)","Unloaded Collar (ft)")</f>
        <v>Unloaded Collar (ft)</v>
      </c>
      <c r="C20" s="93">
        <f>IF(OR($C$13=0,$C$14=0)," ",T20)</f>
        <v>12.790240399411822</v>
      </c>
      <c r="D20" s="93" t="str">
        <f>IF(OR($D$13=0,$D$14=0)," ",T19)</f>
        <v xml:space="preserve"> </v>
      </c>
      <c r="E20" s="93" t="str">
        <f>IF(OR($E$13=0,$E$14=0)," ",T18)</f>
        <v xml:space="preserve"> </v>
      </c>
      <c r="F20" s="93" t="str">
        <f>IF(OR($F$13=0,$F$14=0)," ",T17)</f>
        <v xml:space="preserve"> </v>
      </c>
      <c r="G20" s="94">
        <f>P28</f>
        <v>1.1822507950620662</v>
      </c>
      <c r="H20" s="95" t="s">
        <v>5</v>
      </c>
      <c r="I20" s="75"/>
      <c r="J20" s="75"/>
      <c r="K20" s="75"/>
      <c r="L20" s="75"/>
      <c r="O20" s="18" t="s">
        <v>38</v>
      </c>
      <c r="P20" s="48">
        <f>IF(OR($C$13=0,$C$14=0),$C$9,$C$9-(($C$19/(0.3405*$P$4^2*$C$25))))</f>
        <v>12.790240399411822</v>
      </c>
      <c r="Q20" s="49">
        <f>IF(OR($C$13=0,$C$14=0),$C$9,$C$9-((C19/(0.000785*$P$3^2*$C$25))))</f>
        <v>-10896.933941401623</v>
      </c>
      <c r="R20" s="19">
        <f>IF($T$3=1,$C$9-Q20,$C$9-P20)</f>
        <v>25.209759600588178</v>
      </c>
      <c r="S20" s="20">
        <f>$C$13</f>
        <v>29</v>
      </c>
      <c r="T20" s="48">
        <f t="shared" si="1"/>
        <v>12.790240399411822</v>
      </c>
      <c r="U20" s="69">
        <f t="shared" si="2"/>
        <v>25.209759600588178</v>
      </c>
      <c r="W20" s="7"/>
      <c r="X20" s="16"/>
    </row>
    <row r="21" spans="2:24" x14ac:dyDescent="0.25">
      <c r="B21" s="82"/>
      <c r="C21" s="96"/>
      <c r="D21" s="96"/>
      <c r="E21" s="96"/>
      <c r="F21" s="96"/>
      <c r="G21" s="97"/>
      <c r="H21" s="95"/>
      <c r="I21" s="75"/>
      <c r="J21" s="75"/>
      <c r="K21" s="75"/>
      <c r="L21" s="75"/>
      <c r="O21" s="6"/>
      <c r="P21" s="6"/>
      <c r="R21" s="6"/>
      <c r="S21" s="6"/>
      <c r="X21" s="6"/>
    </row>
    <row r="22" spans="2:24" x14ac:dyDescent="0.25">
      <c r="B22" s="98" t="str">
        <f>IF($T$3=1,"Energy (kJ/m)","Energy (Kcal/ft)")</f>
        <v>Energy (Kcal/ft)</v>
      </c>
      <c r="C22" s="99">
        <f>IF(OR(C13=0,C14=0),0,IF($T$3=1,4.186*(880-2*C10)*C19/C13,0.454*(880-2*C10)*C19/C13))</f>
        <v>2516.6135123466956</v>
      </c>
      <c r="D22" s="99">
        <f>IF(OR(D13=0,D14=0),0,IF($T$3=1,4.186*(880-2*C10)*D19/D13,0.454*(880-2*C10)*D19/D13))</f>
        <v>0</v>
      </c>
      <c r="E22" s="99">
        <f>IF(OR(E13=0,E14=0),0,IF($T$3=1,4.186*(880-2*C10)*E19/E13,0.454*(880-2*C10)*E19/E13))</f>
        <v>0</v>
      </c>
      <c r="F22" s="99">
        <f>IF(OR(F13=0,F14=0),0,IF($T$3=1,4.186*(880-2*C10)*F19/F13,0.454*(880-2*C10)*F19/F13))</f>
        <v>0</v>
      </c>
      <c r="G22" s="100"/>
      <c r="H22" s="101"/>
      <c r="I22" s="75"/>
      <c r="J22" s="75"/>
      <c r="K22" s="75"/>
      <c r="L22" s="75"/>
      <c r="O22" s="41" t="s">
        <v>40</v>
      </c>
      <c r="P22" s="23"/>
      <c r="Q22" s="24"/>
      <c r="R22" s="6"/>
      <c r="S22" s="10"/>
      <c r="X22" s="10"/>
    </row>
    <row r="23" spans="2:24" x14ac:dyDescent="0.25">
      <c r="B23" s="102" t="str">
        <f>IF(OR(S10&gt;=Q3,T10&gt;=Q3,U10&gt;=Q3,V10&gt;=Q3),"Density may be too high at bottom of hole!!!"," ")</f>
        <v xml:space="preserve"> </v>
      </c>
      <c r="G23" s="75"/>
      <c r="H23" s="75"/>
      <c r="I23" s="75"/>
      <c r="J23" s="75"/>
      <c r="K23" s="75"/>
      <c r="L23" s="75"/>
      <c r="O23" s="25"/>
      <c r="P23" s="26" t="s">
        <v>43</v>
      </c>
      <c r="Q23" s="15" t="s">
        <v>42</v>
      </c>
      <c r="R23" s="6"/>
      <c r="S23" s="10"/>
      <c r="X23" s="10"/>
    </row>
    <row r="24" spans="2:24" ht="13.8" thickBot="1" x14ac:dyDescent="0.3">
      <c r="B24" s="103" t="s">
        <v>25</v>
      </c>
      <c r="C24" s="75"/>
      <c r="D24" s="75"/>
      <c r="E24" s="75"/>
      <c r="F24" s="75"/>
      <c r="G24" s="75"/>
      <c r="H24" s="75"/>
      <c r="I24" s="75"/>
      <c r="J24" s="75"/>
      <c r="K24" s="75"/>
      <c r="L24" s="75"/>
      <c r="O24" s="14" t="s">
        <v>8</v>
      </c>
      <c r="P24" s="28">
        <f>IF(C16=" ",0,C16)</f>
        <v>1.1822507950620664</v>
      </c>
      <c r="Q24" s="15">
        <f>C13</f>
        <v>29</v>
      </c>
      <c r="R24" s="6"/>
      <c r="S24" s="10"/>
      <c r="X24" s="10"/>
    </row>
    <row r="25" spans="2:24" ht="13.8" thickBot="1" x14ac:dyDescent="0.3">
      <c r="B25" s="104" t="s">
        <v>6</v>
      </c>
      <c r="C25" s="106">
        <v>1.36</v>
      </c>
      <c r="D25" s="85" t="s">
        <v>5</v>
      </c>
      <c r="E25" s="75"/>
      <c r="F25" s="75"/>
      <c r="G25" s="75"/>
      <c r="H25" s="75"/>
      <c r="I25" s="75"/>
      <c r="J25" s="75"/>
      <c r="K25" s="75"/>
      <c r="L25" s="75"/>
      <c r="O25" s="14" t="s">
        <v>37</v>
      </c>
      <c r="P25" s="28">
        <f>IF(D16=" ",0,D16)</f>
        <v>0</v>
      </c>
      <c r="Q25" s="15">
        <f>D13</f>
        <v>0</v>
      </c>
      <c r="R25" s="6"/>
      <c r="S25" s="10"/>
      <c r="X25" s="10"/>
    </row>
    <row r="26" spans="2:24" x14ac:dyDescent="0.25">
      <c r="B26" s="105"/>
      <c r="G26" s="75"/>
      <c r="H26" s="75"/>
      <c r="I26" s="75"/>
      <c r="J26" s="75"/>
      <c r="K26" s="75"/>
      <c r="L26" s="75"/>
      <c r="O26" s="14" t="s">
        <v>30</v>
      </c>
      <c r="P26" s="28">
        <f>IF(E16=" ",0,E16)</f>
        <v>0</v>
      </c>
      <c r="Q26" s="15">
        <f>E13</f>
        <v>0</v>
      </c>
      <c r="R26" s="31"/>
      <c r="S26" s="10"/>
      <c r="X26" s="10"/>
    </row>
    <row r="27" spans="2:24" x14ac:dyDescent="0.25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O27" s="14" t="s">
        <v>38</v>
      </c>
      <c r="P27" s="28">
        <f>IF(F16=" ",0,F16)</f>
        <v>0</v>
      </c>
      <c r="Q27" s="15">
        <f>F13</f>
        <v>0</v>
      </c>
      <c r="R27" s="32"/>
      <c r="S27" s="10"/>
      <c r="X27" s="10"/>
    </row>
    <row r="28" spans="2:24" x14ac:dyDescent="0.25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O28" s="27" t="s">
        <v>41</v>
      </c>
      <c r="P28" s="30">
        <f>(P24*Q24+P25*Q25+P26*Q26+P27*Q27)/(Q24+Q25+Q26+Q27)</f>
        <v>1.1822507950620662</v>
      </c>
      <c r="Q28" s="29"/>
      <c r="R28" s="6"/>
      <c r="S28" s="10"/>
      <c r="X28" s="10"/>
    </row>
    <row r="29" spans="2:24" x14ac:dyDescent="0.25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R29" s="10"/>
      <c r="S29" s="10"/>
      <c r="T29" s="10"/>
      <c r="V29" s="6"/>
      <c r="W29" s="10"/>
      <c r="X29" s="10"/>
    </row>
    <row r="30" spans="2:24" x14ac:dyDescent="0.25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O30" s="33" t="s">
        <v>44</v>
      </c>
      <c r="P30" s="10"/>
      <c r="R30" s="33" t="s">
        <v>57</v>
      </c>
      <c r="S30" s="10"/>
      <c r="T30" s="10"/>
      <c r="U30" s="33" t="s">
        <v>56</v>
      </c>
      <c r="V30" s="10"/>
      <c r="W30" s="10"/>
      <c r="X30" s="10"/>
    </row>
    <row r="31" spans="2:24" x14ac:dyDescent="0.25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O31" s="38">
        <f>IF($T$3=1,U31,R31)</f>
        <v>3</v>
      </c>
      <c r="P31" s="38">
        <f>IF($T$3=1,V31,S31)</f>
        <v>3</v>
      </c>
      <c r="R31" s="50">
        <v>3</v>
      </c>
      <c r="S31" s="50">
        <v>3</v>
      </c>
      <c r="T31" s="10"/>
      <c r="U31" s="50">
        <v>76</v>
      </c>
      <c r="V31" s="50">
        <v>76</v>
      </c>
      <c r="W31" s="10"/>
      <c r="X31" s="10"/>
    </row>
    <row r="32" spans="2:24" ht="16.8" x14ac:dyDescent="0.35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O32" s="39" t="str">
        <f t="shared" ref="O32:O51" si="4">IF($T$3=1,U32,R32)</f>
        <v>3 1/2</v>
      </c>
      <c r="P32" s="39">
        <f t="shared" ref="P32:P51" si="5">IF($T$3=1,V32,S32)</f>
        <v>3.5</v>
      </c>
      <c r="R32" s="51" t="s">
        <v>17</v>
      </c>
      <c r="S32" s="52">
        <v>3.5</v>
      </c>
      <c r="T32" s="10"/>
      <c r="U32" s="52">
        <v>89</v>
      </c>
      <c r="V32" s="52">
        <v>89</v>
      </c>
      <c r="W32" s="10"/>
      <c r="X32" s="10"/>
    </row>
    <row r="33" spans="2:24" x14ac:dyDescent="0.25">
      <c r="B33" s="75"/>
      <c r="C33" s="75"/>
      <c r="D33" s="75"/>
      <c r="E33" s="75"/>
      <c r="F33" s="75"/>
      <c r="G33" s="75"/>
      <c r="H33" s="75"/>
      <c r="I33" s="75"/>
      <c r="J33" s="75"/>
      <c r="K33" s="75"/>
      <c r="O33" s="39">
        <f t="shared" si="4"/>
        <v>4</v>
      </c>
      <c r="P33" s="39">
        <f t="shared" si="5"/>
        <v>4</v>
      </c>
      <c r="R33" s="52">
        <v>4</v>
      </c>
      <c r="S33" s="52">
        <v>4</v>
      </c>
      <c r="T33" s="10"/>
      <c r="U33" s="52">
        <v>102</v>
      </c>
      <c r="V33" s="52">
        <v>102</v>
      </c>
      <c r="W33" s="10"/>
      <c r="X33" s="10"/>
    </row>
    <row r="34" spans="2:24" ht="16.8" x14ac:dyDescent="0.35">
      <c r="B34" s="75"/>
      <c r="C34" s="75"/>
      <c r="D34" s="75"/>
      <c r="E34" s="75"/>
      <c r="F34" s="75"/>
      <c r="G34" s="75"/>
      <c r="H34" s="75"/>
      <c r="I34" s="75"/>
      <c r="J34" s="75"/>
      <c r="K34" s="75"/>
      <c r="O34" s="39" t="str">
        <f t="shared" si="4"/>
        <v>4 1/2</v>
      </c>
      <c r="P34" s="39">
        <f t="shared" si="5"/>
        <v>4.5</v>
      </c>
      <c r="R34" s="51" t="s">
        <v>18</v>
      </c>
      <c r="S34" s="52">
        <v>4.5</v>
      </c>
      <c r="T34" s="10"/>
      <c r="U34" s="52">
        <v>114</v>
      </c>
      <c r="V34" s="52">
        <v>114</v>
      </c>
      <c r="W34" s="10"/>
      <c r="X34" s="10"/>
    </row>
    <row r="35" spans="2:24" x14ac:dyDescent="0.25">
      <c r="B35" s="75"/>
      <c r="C35" s="75"/>
      <c r="D35" s="75"/>
      <c r="E35" s="75"/>
      <c r="F35" s="75"/>
      <c r="G35" s="75"/>
      <c r="H35" s="75"/>
      <c r="I35" s="75"/>
      <c r="J35" s="75"/>
      <c r="K35" s="75"/>
      <c r="O35" s="39">
        <f t="shared" si="4"/>
        <v>5</v>
      </c>
      <c r="P35" s="39">
        <f t="shared" si="5"/>
        <v>5</v>
      </c>
      <c r="R35" s="52">
        <v>5</v>
      </c>
      <c r="S35" s="53">
        <v>5</v>
      </c>
      <c r="T35" s="10"/>
      <c r="U35" s="52">
        <v>127</v>
      </c>
      <c r="V35" s="52">
        <v>127</v>
      </c>
      <c r="W35" s="10"/>
      <c r="X35" s="10"/>
    </row>
    <row r="36" spans="2:24" ht="16.8" x14ac:dyDescent="0.35">
      <c r="B36" s="75"/>
      <c r="C36" s="75"/>
      <c r="D36" s="75"/>
      <c r="E36" s="75"/>
      <c r="F36" s="75"/>
      <c r="G36" s="75"/>
      <c r="H36" s="75"/>
      <c r="I36" s="75"/>
      <c r="J36" s="75"/>
      <c r="K36" s="75"/>
      <c r="O36" s="39" t="str">
        <f t="shared" si="4"/>
        <v>5 1/4</v>
      </c>
      <c r="P36" s="39">
        <f t="shared" si="5"/>
        <v>5.25</v>
      </c>
      <c r="R36" s="51" t="s">
        <v>19</v>
      </c>
      <c r="S36" s="54">
        <v>5.25</v>
      </c>
      <c r="T36" s="10"/>
      <c r="U36" s="52">
        <v>133</v>
      </c>
      <c r="V36" s="52">
        <v>133</v>
      </c>
      <c r="W36" s="10"/>
      <c r="X36" s="10"/>
    </row>
    <row r="37" spans="2:24" ht="16.8" x14ac:dyDescent="0.35">
      <c r="B37" s="75"/>
      <c r="C37" s="75"/>
      <c r="D37" s="75"/>
      <c r="E37" s="75"/>
      <c r="F37" s="75"/>
      <c r="G37" s="75"/>
      <c r="H37" s="75"/>
      <c r="I37" s="75"/>
      <c r="J37" s="75"/>
      <c r="K37" s="75"/>
      <c r="O37" s="39" t="str">
        <f t="shared" si="4"/>
        <v>5 1/2</v>
      </c>
      <c r="P37" s="39">
        <f t="shared" si="5"/>
        <v>5.5</v>
      </c>
      <c r="R37" s="51" t="s">
        <v>20</v>
      </c>
      <c r="S37" s="52">
        <v>5.5</v>
      </c>
      <c r="T37" s="10"/>
      <c r="U37" s="52">
        <v>140</v>
      </c>
      <c r="V37" s="52">
        <v>140</v>
      </c>
      <c r="W37" s="10"/>
      <c r="X37" s="10"/>
    </row>
    <row r="38" spans="2:24" ht="16.8" x14ac:dyDescent="0.35">
      <c r="B38" s="75"/>
      <c r="C38" s="75"/>
      <c r="D38" s="75"/>
      <c r="E38" s="75"/>
      <c r="F38" s="75"/>
      <c r="G38" s="75"/>
      <c r="H38" s="75"/>
      <c r="I38" s="75"/>
      <c r="J38" s="75"/>
      <c r="K38" s="75"/>
      <c r="O38" s="39" t="str">
        <f t="shared" si="4"/>
        <v>5 5/8</v>
      </c>
      <c r="P38" s="39">
        <f t="shared" si="5"/>
        <v>5.625</v>
      </c>
      <c r="R38" s="51" t="s">
        <v>21</v>
      </c>
      <c r="S38" s="52">
        <v>5.625</v>
      </c>
      <c r="T38" s="10"/>
      <c r="U38" s="52">
        <v>142</v>
      </c>
      <c r="V38" s="52">
        <v>142</v>
      </c>
      <c r="W38" s="10"/>
      <c r="X38" s="10"/>
    </row>
    <row r="39" spans="2:24" x14ac:dyDescent="0.25">
      <c r="B39" s="75"/>
      <c r="C39" s="75"/>
      <c r="D39" s="75"/>
      <c r="E39" s="75"/>
      <c r="F39" s="75"/>
      <c r="G39" s="75"/>
      <c r="H39" s="75"/>
      <c r="I39" s="75"/>
      <c r="J39" s="75"/>
      <c r="K39" s="75"/>
      <c r="O39" s="39">
        <f t="shared" si="4"/>
        <v>6</v>
      </c>
      <c r="P39" s="39">
        <f t="shared" si="5"/>
        <v>6</v>
      </c>
      <c r="R39" s="52">
        <v>6</v>
      </c>
      <c r="S39" s="52">
        <v>6</v>
      </c>
      <c r="T39" s="10"/>
      <c r="U39" s="52">
        <v>152</v>
      </c>
      <c r="V39" s="52">
        <v>152</v>
      </c>
      <c r="W39" s="10"/>
      <c r="X39" s="10"/>
    </row>
    <row r="40" spans="2:24" ht="16.8" x14ac:dyDescent="0.35">
      <c r="B40" s="75"/>
      <c r="C40" s="75"/>
      <c r="D40" s="75"/>
      <c r="E40" s="75"/>
      <c r="F40" s="75"/>
      <c r="G40" s="75"/>
      <c r="H40" s="75"/>
      <c r="I40" s="75"/>
      <c r="J40" s="75"/>
      <c r="K40" s="75"/>
      <c r="O40" s="39" t="str">
        <f t="shared" si="4"/>
        <v>6 1/4</v>
      </c>
      <c r="P40" s="39">
        <f t="shared" si="5"/>
        <v>6.25</v>
      </c>
      <c r="R40" s="51" t="s">
        <v>22</v>
      </c>
      <c r="S40" s="52">
        <v>6.25</v>
      </c>
      <c r="T40" s="10"/>
      <c r="U40" s="52">
        <v>159</v>
      </c>
      <c r="V40" s="52">
        <v>159</v>
      </c>
      <c r="W40" s="10"/>
      <c r="X40" s="10"/>
    </row>
    <row r="41" spans="2:24" ht="16.8" x14ac:dyDescent="0.35">
      <c r="B41" s="75"/>
      <c r="C41" s="75"/>
      <c r="D41" s="75"/>
      <c r="E41" s="75"/>
      <c r="F41" s="75"/>
      <c r="G41" s="75"/>
      <c r="H41" s="75"/>
      <c r="I41" s="75"/>
      <c r="J41" s="75"/>
      <c r="K41" s="75"/>
      <c r="O41" s="39" t="str">
        <f t="shared" si="4"/>
        <v>6 1/2</v>
      </c>
      <c r="P41" s="39">
        <f t="shared" si="5"/>
        <v>6.5</v>
      </c>
      <c r="R41" s="51" t="s">
        <v>23</v>
      </c>
      <c r="S41" s="52">
        <v>6.5</v>
      </c>
      <c r="T41" s="10"/>
      <c r="U41" s="52">
        <v>165</v>
      </c>
      <c r="V41" s="52">
        <v>165</v>
      </c>
      <c r="W41" s="10"/>
      <c r="X41" s="10"/>
    </row>
    <row r="42" spans="2:24" ht="16.8" x14ac:dyDescent="0.35">
      <c r="B42" s="75"/>
      <c r="C42" s="75"/>
      <c r="D42" s="75"/>
      <c r="E42" s="75"/>
      <c r="F42" s="75"/>
      <c r="G42" s="75"/>
      <c r="H42" s="75"/>
      <c r="I42" s="75"/>
      <c r="J42" s="75"/>
      <c r="K42" s="75"/>
      <c r="O42" s="39" t="str">
        <f t="shared" si="4"/>
        <v>6  3/4</v>
      </c>
      <c r="P42" s="39">
        <f t="shared" si="5"/>
        <v>6.75</v>
      </c>
      <c r="R42" s="51" t="s">
        <v>24</v>
      </c>
      <c r="S42" s="52">
        <v>6.75</v>
      </c>
      <c r="U42" s="52">
        <v>171</v>
      </c>
      <c r="V42" s="52">
        <v>171</v>
      </c>
    </row>
    <row r="43" spans="2:24" ht="16.8" x14ac:dyDescent="0.35">
      <c r="B43" s="75"/>
      <c r="C43" s="75"/>
      <c r="D43" s="75"/>
      <c r="E43" s="75"/>
      <c r="F43" s="75"/>
      <c r="G43" s="75"/>
      <c r="H43" s="75"/>
      <c r="I43" s="75"/>
      <c r="J43" s="75"/>
      <c r="K43" s="75"/>
      <c r="O43" s="39" t="str">
        <f t="shared" si="4"/>
        <v>6 7/8</v>
      </c>
      <c r="P43" s="39">
        <f t="shared" si="5"/>
        <v>6.875</v>
      </c>
      <c r="R43" s="51" t="s">
        <v>12</v>
      </c>
      <c r="S43" s="52">
        <v>6.875</v>
      </c>
      <c r="U43" s="52">
        <v>175</v>
      </c>
      <c r="V43" s="52">
        <v>175</v>
      </c>
    </row>
    <row r="44" spans="2:24" x14ac:dyDescent="0.25">
      <c r="B44" s="75"/>
      <c r="C44" s="75"/>
      <c r="D44" s="75"/>
      <c r="E44" s="75"/>
      <c r="F44" s="75"/>
      <c r="G44" s="75"/>
      <c r="H44" s="75"/>
      <c r="I44" s="75"/>
      <c r="J44" s="75"/>
      <c r="K44" s="75"/>
      <c r="O44" s="39">
        <f t="shared" si="4"/>
        <v>7</v>
      </c>
      <c r="P44" s="39">
        <f t="shared" si="5"/>
        <v>7</v>
      </c>
      <c r="R44" s="52">
        <v>7</v>
      </c>
      <c r="S44" s="52">
        <v>7</v>
      </c>
      <c r="U44" s="52">
        <v>178</v>
      </c>
      <c r="V44" s="52">
        <v>178</v>
      </c>
    </row>
    <row r="45" spans="2:24" ht="16.8" x14ac:dyDescent="0.35">
      <c r="B45" s="75"/>
      <c r="C45" s="75"/>
      <c r="D45" s="75"/>
      <c r="E45" s="75"/>
      <c r="F45" s="75"/>
      <c r="G45" s="75"/>
      <c r="H45" s="75"/>
      <c r="I45" s="75"/>
      <c r="J45" s="75"/>
      <c r="K45" s="75"/>
      <c r="O45" s="39" t="str">
        <f t="shared" si="4"/>
        <v>7 3/8</v>
      </c>
      <c r="P45" s="39">
        <f t="shared" si="5"/>
        <v>7.375</v>
      </c>
      <c r="R45" s="51" t="s">
        <v>13</v>
      </c>
      <c r="S45" s="52">
        <v>7.375</v>
      </c>
      <c r="U45" s="52">
        <v>188</v>
      </c>
      <c r="V45" s="52">
        <v>188</v>
      </c>
    </row>
    <row r="46" spans="2:24" ht="16.8" x14ac:dyDescent="0.35">
      <c r="B46" s="75"/>
      <c r="C46" s="75"/>
      <c r="D46" s="75"/>
      <c r="E46" s="75"/>
      <c r="F46" s="75"/>
      <c r="G46" s="75"/>
      <c r="H46" s="75"/>
      <c r="I46" s="75"/>
      <c r="J46" s="75"/>
      <c r="K46" s="75"/>
      <c r="O46" s="39" t="str">
        <f t="shared" si="4"/>
        <v>7 7/8</v>
      </c>
      <c r="P46" s="39">
        <f t="shared" si="5"/>
        <v>7.875</v>
      </c>
      <c r="R46" s="51" t="s">
        <v>14</v>
      </c>
      <c r="S46" s="52">
        <v>7.875</v>
      </c>
      <c r="U46" s="52">
        <v>200</v>
      </c>
      <c r="V46" s="52">
        <v>200</v>
      </c>
    </row>
    <row r="47" spans="2:24" x14ac:dyDescent="0.25">
      <c r="B47" s="75"/>
      <c r="C47" s="75"/>
      <c r="D47" s="75"/>
      <c r="E47" s="75"/>
      <c r="F47" s="75"/>
      <c r="G47" s="75"/>
      <c r="H47" s="75"/>
      <c r="I47" s="75"/>
      <c r="J47" s="75"/>
      <c r="K47" s="75"/>
      <c r="O47" s="39">
        <f t="shared" si="4"/>
        <v>8</v>
      </c>
      <c r="P47" s="39">
        <f t="shared" si="5"/>
        <v>8</v>
      </c>
      <c r="R47" s="52">
        <v>8</v>
      </c>
      <c r="S47" s="52">
        <v>8</v>
      </c>
      <c r="U47" s="52">
        <v>203</v>
      </c>
      <c r="V47" s="52">
        <v>203</v>
      </c>
    </row>
    <row r="48" spans="2:24" x14ac:dyDescent="0.25">
      <c r="B48" s="75"/>
      <c r="C48" s="75"/>
      <c r="D48" s="75"/>
      <c r="E48" s="75"/>
      <c r="F48" s="75"/>
      <c r="G48" s="75"/>
      <c r="H48" s="75"/>
      <c r="I48" s="75"/>
      <c r="J48" s="75"/>
      <c r="K48" s="75"/>
      <c r="O48" s="39">
        <f t="shared" si="4"/>
        <v>9</v>
      </c>
      <c r="P48" s="39">
        <f t="shared" si="5"/>
        <v>9</v>
      </c>
      <c r="R48" s="52">
        <v>9</v>
      </c>
      <c r="S48" s="52">
        <v>9</v>
      </c>
      <c r="U48" s="52">
        <v>229</v>
      </c>
      <c r="V48" s="52">
        <v>229</v>
      </c>
    </row>
    <row r="49" spans="2:22" ht="16.8" x14ac:dyDescent="0.35">
      <c r="B49" s="75"/>
      <c r="C49" s="75"/>
      <c r="D49" s="75"/>
      <c r="E49" s="75"/>
      <c r="F49" s="75"/>
      <c r="G49" s="75"/>
      <c r="H49" s="75"/>
      <c r="I49" s="75"/>
      <c r="J49" s="75"/>
      <c r="K49" s="75"/>
      <c r="O49" s="39" t="str">
        <f t="shared" si="4"/>
        <v>9 7/8</v>
      </c>
      <c r="P49" s="39">
        <f t="shared" si="5"/>
        <v>9.875</v>
      </c>
      <c r="R49" s="51" t="s">
        <v>15</v>
      </c>
      <c r="S49" s="52">
        <v>9.875</v>
      </c>
      <c r="U49" s="52">
        <v>251</v>
      </c>
      <c r="V49" s="52">
        <v>251</v>
      </c>
    </row>
    <row r="50" spans="2:22" ht="16.8" x14ac:dyDescent="0.35">
      <c r="B50" s="75"/>
      <c r="C50" s="75"/>
      <c r="D50" s="75"/>
      <c r="E50" s="75"/>
      <c r="F50" s="75"/>
      <c r="G50" s="75"/>
      <c r="H50" s="75"/>
      <c r="I50" s="75"/>
      <c r="J50" s="75"/>
      <c r="K50" s="75"/>
      <c r="O50" s="39" t="str">
        <f t="shared" si="4"/>
        <v>10 5/8</v>
      </c>
      <c r="P50" s="39">
        <f t="shared" si="5"/>
        <v>10.625</v>
      </c>
      <c r="R50" s="51" t="s">
        <v>16</v>
      </c>
      <c r="S50" s="52">
        <v>10.625</v>
      </c>
      <c r="U50" s="52">
        <v>270</v>
      </c>
      <c r="V50" s="52">
        <v>270</v>
      </c>
    </row>
    <row r="51" spans="2:22" x14ac:dyDescent="0.25">
      <c r="B51" s="75"/>
      <c r="C51" s="75"/>
      <c r="D51" s="75"/>
      <c r="E51" s="75"/>
      <c r="F51" s="75"/>
      <c r="G51" s="75"/>
      <c r="H51" s="75"/>
      <c r="I51" s="75"/>
      <c r="J51" s="75"/>
      <c r="K51" s="75"/>
      <c r="O51" s="39" t="str">
        <f t="shared" si="4"/>
        <v>11</v>
      </c>
      <c r="P51" s="39">
        <f t="shared" si="5"/>
        <v>11</v>
      </c>
      <c r="R51" s="51" t="s">
        <v>60</v>
      </c>
      <c r="S51" s="52">
        <v>11</v>
      </c>
      <c r="U51" s="52">
        <v>280</v>
      </c>
      <c r="V51" s="52">
        <v>280</v>
      </c>
    </row>
    <row r="52" spans="2:22" ht="16.8" x14ac:dyDescent="0.35">
      <c r="B52" s="75"/>
      <c r="C52" s="75"/>
      <c r="D52" s="75"/>
      <c r="E52" s="75"/>
      <c r="F52" s="75"/>
      <c r="G52" s="75"/>
      <c r="H52" s="75"/>
      <c r="I52" s="75"/>
      <c r="J52" s="75"/>
      <c r="K52" s="75"/>
      <c r="O52" s="40" t="str">
        <f t="shared" ref="O52" si="6">IF($T$3=1,U52,R52)</f>
        <v>12 1/4</v>
      </c>
      <c r="P52" s="40">
        <f t="shared" ref="P52" si="7">IF($T$3=1,V52,S52)</f>
        <v>12.25</v>
      </c>
      <c r="R52" s="58" t="s">
        <v>59</v>
      </c>
      <c r="S52" s="56">
        <v>12.25</v>
      </c>
      <c r="U52" s="57">
        <v>311</v>
      </c>
      <c r="V52" s="57">
        <v>311</v>
      </c>
    </row>
    <row r="53" spans="2:22" x14ac:dyDescent="0.25"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2:22" x14ac:dyDescent="0.25"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2:22" x14ac:dyDescent="0.25">
      <c r="B55" s="75"/>
      <c r="C55" s="75"/>
      <c r="D55" s="75"/>
      <c r="E55" s="75"/>
      <c r="F55" s="75"/>
      <c r="G55" s="75"/>
      <c r="H55" s="75"/>
      <c r="I55" s="75"/>
      <c r="J55" s="75"/>
      <c r="K55" s="75"/>
      <c r="O55" s="33" t="s">
        <v>62</v>
      </c>
    </row>
    <row r="56" spans="2:22" x14ac:dyDescent="0.25">
      <c r="B56" s="75"/>
      <c r="C56" s="75"/>
      <c r="D56" s="75"/>
      <c r="E56" s="75"/>
      <c r="F56" s="75"/>
      <c r="G56" s="75"/>
      <c r="H56" s="75"/>
      <c r="I56" s="75"/>
      <c r="J56" s="75"/>
      <c r="K56" s="75"/>
      <c r="O56" s="59"/>
      <c r="P56" s="23"/>
      <c r="Q56" s="23"/>
      <c r="R56" s="23"/>
      <c r="S56" s="23"/>
      <c r="T56" s="24"/>
    </row>
    <row r="57" spans="2:22" x14ac:dyDescent="0.25">
      <c r="B57" s="75"/>
      <c r="C57" s="75"/>
      <c r="D57" s="75"/>
      <c r="E57" s="75"/>
      <c r="F57" s="75"/>
      <c r="G57" s="75"/>
      <c r="H57" s="75"/>
      <c r="I57" s="75"/>
      <c r="J57" s="75"/>
      <c r="K57" s="75"/>
      <c r="O57" s="60" t="s">
        <v>63</v>
      </c>
      <c r="T57" s="61"/>
    </row>
    <row r="58" spans="2:22" x14ac:dyDescent="0.25">
      <c r="B58" s="75"/>
      <c r="C58" s="75"/>
      <c r="D58" s="75"/>
      <c r="E58" s="75"/>
      <c r="F58" s="75"/>
      <c r="G58" s="75"/>
      <c r="H58" s="75"/>
      <c r="I58" s="75"/>
      <c r="J58" s="75"/>
      <c r="K58" s="75"/>
      <c r="O58" s="62"/>
      <c r="P58" s="2">
        <f>P3*C10/100</f>
        <v>4.5</v>
      </c>
      <c r="T58" s="61"/>
    </row>
    <row r="59" spans="2:22" x14ac:dyDescent="0.25">
      <c r="B59" s="75"/>
      <c r="C59" s="75"/>
      <c r="D59" s="75"/>
      <c r="E59" s="75"/>
      <c r="F59" s="75"/>
      <c r="G59" s="75"/>
      <c r="H59" s="75"/>
      <c r="I59" s="75"/>
      <c r="J59" s="75"/>
      <c r="K59" s="75"/>
      <c r="O59" s="60"/>
      <c r="P59" s="2"/>
      <c r="T59" s="61"/>
    </row>
    <row r="60" spans="2:22" x14ac:dyDescent="0.25">
      <c r="B60" s="75"/>
      <c r="C60" s="75"/>
      <c r="D60" s="75"/>
      <c r="E60" s="75"/>
      <c r="F60" s="75"/>
      <c r="G60" s="75"/>
      <c r="H60" s="75"/>
      <c r="I60" s="75"/>
      <c r="J60" s="75"/>
      <c r="K60" s="75"/>
      <c r="O60" s="13"/>
      <c r="P60" s="44"/>
      <c r="Q60" s="22"/>
      <c r="R60" s="21" t="s">
        <v>33</v>
      </c>
      <c r="S60" s="22"/>
      <c r="T60" s="67" t="s">
        <v>67</v>
      </c>
    </row>
    <row r="61" spans="2:22" x14ac:dyDescent="0.25">
      <c r="B61" s="75"/>
      <c r="C61" s="75"/>
      <c r="D61" s="75"/>
      <c r="E61" s="75"/>
      <c r="F61" s="75"/>
      <c r="G61" s="75"/>
      <c r="H61" s="75"/>
      <c r="I61" s="75"/>
      <c r="J61" s="75"/>
      <c r="K61" s="75"/>
      <c r="O61" s="14"/>
      <c r="P61" s="45" t="s">
        <v>64</v>
      </c>
      <c r="Q61" s="15" t="s">
        <v>65</v>
      </c>
      <c r="R61" s="7" t="s">
        <v>34</v>
      </c>
      <c r="S61" s="15" t="s">
        <v>35</v>
      </c>
      <c r="T61" s="61"/>
    </row>
    <row r="62" spans="2:22" x14ac:dyDescent="0.25">
      <c r="B62" s="75"/>
      <c r="C62" s="75"/>
      <c r="D62" s="75"/>
      <c r="E62" s="75"/>
      <c r="F62" s="75"/>
      <c r="G62" s="75"/>
      <c r="H62" s="75"/>
      <c r="I62" s="75"/>
      <c r="J62" s="75"/>
      <c r="K62" s="75"/>
      <c r="O62" s="14" t="s">
        <v>36</v>
      </c>
      <c r="P62" s="46"/>
      <c r="Q62" s="47"/>
      <c r="R62" s="16">
        <f>C9-R66-R65-R64-R63</f>
        <v>12.790240399411822</v>
      </c>
      <c r="S62" s="17">
        <f>$C$9-S63-S64-S65-S66</f>
        <v>9</v>
      </c>
      <c r="T62" s="68">
        <f>T63</f>
        <v>12.790240399411822</v>
      </c>
    </row>
    <row r="63" spans="2:22" x14ac:dyDescent="0.25">
      <c r="O63" s="14" t="s">
        <v>8</v>
      </c>
      <c r="P63" s="46">
        <f t="shared" ref="P63:P64" si="8">S17-R17</f>
        <v>0</v>
      </c>
      <c r="Q63" s="47">
        <f t="shared" ref="Q63:Q65" si="9">P63*$P$58^2/$P$3^2</f>
        <v>0</v>
      </c>
      <c r="R63" s="46">
        <f t="shared" ref="R63:R65" si="10">S17-Q63</f>
        <v>0</v>
      </c>
      <c r="S63" s="17">
        <f t="shared" ref="S63:S65" si="11">S17</f>
        <v>0</v>
      </c>
      <c r="T63" s="68">
        <f>T64-R63</f>
        <v>12.790240399411822</v>
      </c>
    </row>
    <row r="64" spans="2:22" x14ac:dyDescent="0.25">
      <c r="O64" s="14" t="s">
        <v>37</v>
      </c>
      <c r="P64" s="46">
        <f t="shared" si="8"/>
        <v>0</v>
      </c>
      <c r="Q64" s="47">
        <f t="shared" si="9"/>
        <v>0</v>
      </c>
      <c r="R64" s="46">
        <f t="shared" si="10"/>
        <v>0</v>
      </c>
      <c r="S64" s="17">
        <f t="shared" si="11"/>
        <v>0</v>
      </c>
      <c r="T64" s="68">
        <f>T65-R64</f>
        <v>12.790240399411822</v>
      </c>
    </row>
    <row r="65" spans="15:20" x14ac:dyDescent="0.25">
      <c r="O65" s="14" t="s">
        <v>30</v>
      </c>
      <c r="P65" s="46">
        <f>S19-R19</f>
        <v>0</v>
      </c>
      <c r="Q65" s="47">
        <f t="shared" si="9"/>
        <v>0</v>
      </c>
      <c r="R65" s="46">
        <f t="shared" si="10"/>
        <v>0</v>
      </c>
      <c r="S65" s="17">
        <f t="shared" si="11"/>
        <v>0</v>
      </c>
      <c r="T65" s="68">
        <f>T66-R65</f>
        <v>12.790240399411822</v>
      </c>
    </row>
    <row r="66" spans="15:20" x14ac:dyDescent="0.25">
      <c r="O66" s="18" t="s">
        <v>38</v>
      </c>
      <c r="P66" s="48">
        <f>S20-R20</f>
        <v>3.7902403994118217</v>
      </c>
      <c r="Q66" s="49">
        <f>P66*$P$58^2/$P$3^2</f>
        <v>3.7902403994118212</v>
      </c>
      <c r="R66" s="48">
        <f>S20-Q66</f>
        <v>25.209759600588178</v>
      </c>
      <c r="S66" s="20">
        <f>S20</f>
        <v>29</v>
      </c>
      <c r="T66" s="68">
        <f>$C$9-R66</f>
        <v>12.790240399411822</v>
      </c>
    </row>
    <row r="67" spans="15:20" x14ac:dyDescent="0.25">
      <c r="O67" s="25"/>
      <c r="T67" s="61"/>
    </row>
    <row r="68" spans="15:20" x14ac:dyDescent="0.25">
      <c r="O68" s="25"/>
      <c r="T68" s="61"/>
    </row>
    <row r="69" spans="15:20" x14ac:dyDescent="0.25">
      <c r="O69" s="25"/>
      <c r="T69" s="61"/>
    </row>
    <row r="70" spans="15:20" x14ac:dyDescent="0.25">
      <c r="O70" s="63"/>
      <c r="P70" s="64"/>
      <c r="Q70" s="64"/>
      <c r="R70" s="64"/>
      <c r="S70" s="64"/>
      <c r="T70" s="65"/>
    </row>
  </sheetData>
  <phoneticPr fontId="0" type="noConversion"/>
  <conditionalFormatting sqref="E8">
    <cfRule type="expression" dxfId="0" priority="1" stopIfTrue="1">
      <formula>$Q$10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locked="0" defaultSize="0" autoLine="0" autoPict="0" macro="[0]!DropDown2_Change">
                <anchor moveWithCells="1">
                  <from>
                    <xdr:col>2</xdr:col>
                    <xdr:colOff>0</xdr:colOff>
                    <xdr:row>6</xdr:row>
                    <xdr:rowOff>175260</xdr:rowOff>
                  </from>
                  <to>
                    <xdr:col>3</xdr:col>
                    <xdr:colOff>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heck Box 3">
              <controlPr defaultSize="0" autoFill="0" autoLine="0" autoPict="0">
                <anchor moveWithCells="1">
                  <from>
                    <xdr:col>6</xdr:col>
                    <xdr:colOff>213360</xdr:colOff>
                    <xdr:row>6</xdr:row>
                    <xdr:rowOff>121920</xdr:rowOff>
                  </from>
                  <to>
                    <xdr:col>7</xdr:col>
                    <xdr:colOff>381000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heck Box 4">
              <controlPr defaultSize="0" autoFill="0" autoLine="0" autoPict="0">
                <anchor moveWithCells="1">
                  <from>
                    <xdr:col>6</xdr:col>
                    <xdr:colOff>213360</xdr:colOff>
                    <xdr:row>7</xdr:row>
                    <xdr:rowOff>152400</xdr:rowOff>
                  </from>
                  <to>
                    <xdr:col>7</xdr:col>
                    <xdr:colOff>495300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Group Box 26">
              <controlPr defaultSize="0" autoFill="0" autoPict="0">
                <anchor moveWithCells="1">
                  <from>
                    <xdr:col>6</xdr:col>
                    <xdr:colOff>152400</xdr:colOff>
                    <xdr:row>2</xdr:row>
                    <xdr:rowOff>99060</xdr:rowOff>
                  </from>
                  <to>
                    <xdr:col>7</xdr:col>
                    <xdr:colOff>381000</xdr:colOff>
                    <xdr:row>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Option Button 27">
              <controlPr defaultSize="0" autoFill="0" autoLine="0" autoPict="0">
                <anchor moveWithCells="1">
                  <from>
                    <xdr:col>6</xdr:col>
                    <xdr:colOff>220980</xdr:colOff>
                    <xdr:row>3</xdr:row>
                    <xdr:rowOff>0</xdr:rowOff>
                  </from>
                  <to>
                    <xdr:col>7</xdr:col>
                    <xdr:colOff>251460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Option Button 28">
              <controlPr defaultSize="0" autoFill="0" autoLine="0" autoPict="0">
                <anchor moveWithCells="1">
                  <from>
                    <xdr:col>6</xdr:col>
                    <xdr:colOff>220980</xdr:colOff>
                    <xdr:row>4</xdr:row>
                    <xdr:rowOff>38100</xdr:rowOff>
                  </from>
                  <to>
                    <xdr:col>7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Calculation</vt:lpstr>
    </vt:vector>
  </TitlesOfParts>
  <Company>Dyno Nobel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G Giltner</dc:creator>
  <cp:lastModifiedBy>daniel Nawrocki</cp:lastModifiedBy>
  <cp:lastPrinted>2003-10-02T14:49:27Z</cp:lastPrinted>
  <dcterms:created xsi:type="dcterms:W3CDTF">2001-08-27T19:03:21Z</dcterms:created>
  <dcterms:modified xsi:type="dcterms:W3CDTF">2026-03-07T21:58:23Z</dcterms:modified>
</cp:coreProperties>
</file>